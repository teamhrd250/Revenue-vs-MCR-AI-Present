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Dell\Downloads\HR REVENUE\board 2\"/>
    </mc:Choice>
  </mc:AlternateContent>
  <xr:revisionPtr revIDLastSave="0" documentId="13_ncr:1_{6B2AAE0B-FCC8-4C28-AB85-F1D327AFE3B1}" xr6:coauthVersionLast="43" xr6:coauthVersionMax="43" xr10:uidLastSave="{00000000-0000-0000-0000-000000000000}"/>
  <bookViews>
    <workbookView xWindow="-120" yWindow="-120" windowWidth="29040" windowHeight="15840" tabRatio="875" activeTab="9" xr2:uid="{00000000-000D-0000-FFFF-FFFF00000000}"/>
  </bookViews>
  <sheets>
    <sheet name="README" sheetId="1" r:id="rId1"/>
    <sheet name="PARAMETERS" sheetId="2" r:id="rId2"/>
    <sheet name="TARGETS" sheetId="3" r:id="rId3"/>
    <sheet name="FJA_MAPPING" sheetId="4" r:id="rId4"/>
    <sheet name="DIM_DEPARTMENT" sheetId="5" r:id="rId5"/>
    <sheet name="DIM_EMPLOYEE" sheetId="6" r:id="rId6"/>
    <sheet name="REVENUE_YR" sheetId="7" r:id="rId7"/>
    <sheet name="REVENUE_BY_DEPT" sheetId="8" r:id="rId8"/>
    <sheet name="HEADCOUNT_YR" sheetId="9" r:id="rId9"/>
    <sheet name="PAYROLL_YR" sheetId="10" r:id="rId10"/>
    <sheet name="HC_MOVEMENT" sheetId="11" r:id="rId11"/>
    <sheet name="PROJECT_MARGIN" sheetId="12" r:id="rId12"/>
    <sheet name="CAPACITY_INDICATOR" sheetId="13" r:id="rId13"/>
    <sheet name="EXEC_SUMMARY" sheetId="14" r:id="rId14"/>
    <sheet name="CALENDAR" sheetId="15" r:id="rId15"/>
    <sheet name="PRESENTATION_GUIDE" sheetId="16" r:id="rId16"/>
    <sheet name="VISUAL_GUIDE" sheetId="17" r:id="rId17"/>
    <sheet name="SEP_V4_GUIDE" sheetId="18" r:id="rId18"/>
    <sheet name="SEP_PRESENTATION_FLOW" sheetId="19" r:id="rId19"/>
    <sheet name="MONTHLY_KPI" sheetId="20" r:id="rId20"/>
    <sheet name="MONTHLY_YTD_GUIDE" sheetId="21" r:id="rId21"/>
    <sheet name="BENCHMARK_FRAMEWORK" sheetId="22" r:id="rId22"/>
    <sheet name="APPENDIX_KPI_DEFINITIONS" sheetId="23" r:id="rId23"/>
    <sheet name="PROJECT_PRODUCTIVITY" sheetId="24" r:id="rId24"/>
    <sheet name="PROJECT_PRODUCTIVITY_GUIDE" sheetId="25" r:id="rId25"/>
  </sheets>
  <calcPr calcId="191029"/>
</workbook>
</file>

<file path=xl/calcChain.xml><?xml version="1.0" encoding="utf-8"?>
<calcChain xmlns="http://schemas.openxmlformats.org/spreadsheetml/2006/main">
  <c r="E6" i="15" l="1"/>
  <c r="Q17" i="24" l="1"/>
  <c r="P17" i="24"/>
  <c r="O17" i="24"/>
  <c r="M17" i="24"/>
  <c r="N17" i="24" s="1"/>
  <c r="Q16" i="24"/>
  <c r="P16" i="24"/>
  <c r="O16" i="24"/>
  <c r="M16" i="24"/>
  <c r="N16" i="24" s="1"/>
  <c r="Q15" i="24"/>
  <c r="P15" i="24"/>
  <c r="O15" i="24"/>
  <c r="N15" i="24"/>
  <c r="M15" i="24"/>
  <c r="Q14" i="24"/>
  <c r="P14" i="24"/>
  <c r="O14" i="24"/>
  <c r="M14" i="24"/>
  <c r="N14" i="24" s="1"/>
  <c r="Q13" i="24"/>
  <c r="P13" i="24"/>
  <c r="O13" i="24"/>
  <c r="M13" i="24"/>
  <c r="N13" i="24" s="1"/>
  <c r="Q12" i="24"/>
  <c r="P12" i="24"/>
  <c r="O12" i="24"/>
  <c r="M12" i="24"/>
  <c r="N12" i="24" s="1"/>
  <c r="Q11" i="24"/>
  <c r="P11" i="24"/>
  <c r="O11" i="24"/>
  <c r="M11" i="24"/>
  <c r="N11" i="24" s="1"/>
  <c r="Q10" i="24"/>
  <c r="P10" i="24"/>
  <c r="O10" i="24"/>
  <c r="M10" i="24"/>
  <c r="N10" i="24" s="1"/>
  <c r="Q9" i="24"/>
  <c r="P9" i="24"/>
  <c r="O9" i="24"/>
  <c r="N9" i="24"/>
  <c r="M9" i="24"/>
  <c r="Q8" i="24"/>
  <c r="P8" i="24"/>
  <c r="O8" i="24"/>
  <c r="N8" i="24"/>
  <c r="M8" i="24"/>
  <c r="Q7" i="24"/>
  <c r="P7" i="24"/>
  <c r="O7" i="24"/>
  <c r="M7" i="24"/>
  <c r="N7" i="24" s="1"/>
  <c r="Q6" i="24"/>
  <c r="P6" i="24"/>
  <c r="O6" i="24"/>
  <c r="M6" i="24"/>
  <c r="N6" i="24" s="1"/>
  <c r="Q5" i="24"/>
  <c r="P5" i="24"/>
  <c r="O5" i="24"/>
  <c r="M5" i="24"/>
  <c r="N5" i="24" s="1"/>
  <c r="Q4" i="24"/>
  <c r="P4" i="24"/>
  <c r="O4" i="24"/>
  <c r="N4" i="24"/>
  <c r="M4" i="24"/>
  <c r="Q3" i="24"/>
  <c r="P3" i="24"/>
  <c r="O3" i="24"/>
  <c r="N3" i="24"/>
  <c r="M3" i="24"/>
  <c r="Q2" i="24"/>
  <c r="P2" i="24"/>
  <c r="O2" i="24"/>
  <c r="M2" i="24"/>
  <c r="N2" i="24" s="1"/>
  <c r="E5" i="15"/>
  <c r="E4" i="15"/>
  <c r="E3" i="15"/>
  <c r="E2" i="15"/>
  <c r="H7" i="12"/>
  <c r="H6" i="12"/>
  <c r="H5" i="12"/>
  <c r="H4" i="12"/>
  <c r="H3" i="12"/>
  <c r="H2" i="12"/>
  <c r="E7" i="7"/>
  <c r="F7" i="7" s="1"/>
  <c r="E6" i="7"/>
  <c r="F6" i="7" s="1"/>
  <c r="F5" i="7"/>
  <c r="E5" i="7"/>
  <c r="F4" i="7"/>
  <c r="E4" i="7"/>
  <c r="F3" i="7"/>
  <c r="E3" i="7"/>
  <c r="E2" i="7"/>
  <c r="F2" i="7" s="1"/>
</calcChain>
</file>

<file path=xl/sharedStrings.xml><?xml version="1.0" encoding="utf-8"?>
<sst xmlns="http://schemas.openxmlformats.org/spreadsheetml/2006/main" count="1600" uniqueCount="624">
  <si>
    <t>HR vs Revenue Intelligence Platform v2 (Board &amp; CFO Edition)</t>
  </si>
  <si>
    <t>Tujuan template:</t>
  </si>
  <si>
    <t>1. Menjadi data model Excel untuk dashboard Streamlit HR vs Revenue Intelligence Platform v2.</t>
  </si>
  <si>
    <t>2. Menggabungkan analisis Revenue, Headcount, Payroll, Gross Margin, FJA, Capacity Risk, dan Board Decision Center.</t>
  </si>
  <si>
    <t>3. Data dapat diisi manual dari finance/HR/project control tanpa mengubah aplikasi Python.</t>
  </si>
  <si>
    <t>Alur pengisian:</t>
  </si>
  <si>
    <t>1. Isi PARAMETERS dan TARGETS.</t>
  </si>
  <si>
    <t>2. Isi DIM_DEPARTMENT dan FJA_MAPPING.</t>
  </si>
  <si>
    <t>3. Isi transaksi/tahunan: REVENUE_YR, REVENUE_BY_DEPT, HEADCOUNT_YR, PAYROLL_YR.</t>
  </si>
  <si>
    <t>4. Opsional: DIM_EMPLOYEE, HC_MOVEMENT, PROJECT_MARGIN, CAPACITY_INDICATOR.</t>
  </si>
  <si>
    <t>Sheet wajib minimum untuk dashboard berjalan:</t>
  </si>
  <si>
    <t>PARAMETERS, DIM_DEPARTMENT, REVENUE_YR, HEADCOUNT_YR, PAYROLL_YR, FJA_MAPPING, TARGETS.</t>
  </si>
  <si>
    <t>Catatan penting:</t>
  </si>
  <si>
    <t>- Revenue by department idealnya diisi jika ingin analisis produktivitas per departemen/FJA lebih akurat.</t>
  </si>
  <si>
    <t>- Capacity indicators seperti overtime, SLA breach, backlog, dan turnover membuat Capacity Risk lebih defensible di depan Board.</t>
  </si>
  <si>
    <t>- Semua nilai uang diisi dalam currency sesuai PARAMETERS.</t>
  </si>
  <si>
    <t>Update v2.1:</t>
  </si>
  <si>
    <t>Template sample data sudah diperpanjang sampai tahun 2026.</t>
  </si>
  <si>
    <t>Ganti angka sample dengan data aktual sebelum digunakan untuk Board/CFO review.</t>
  </si>
  <si>
    <t>YTD / Annualized Logic:</t>
  </si>
  <si>
    <t>- CALENDAR menentukan jumlah bulan yang sudah closing per tahun.</t>
  </si>
  <si>
    <t>- 2026 diset sebagai YTD Jun dengan Months_Closed = 6.</t>
  </si>
  <si>
    <t>- Dashboard Python v2.1 menyediakan Analysis Mode: Actual dan Annualized.</t>
  </si>
  <si>
    <t>- Annualized mode mengalikan Revenue, COGS, dan Manpower Cost dengan 12 / Months_Closed.</t>
  </si>
  <si>
    <t>- Headcount tidak dianualisasi karena digunakan sebagai average capacity.</t>
  </si>
  <si>
    <t>Parameter</t>
  </si>
  <si>
    <t>Value</t>
  </si>
  <si>
    <t>Description</t>
  </si>
  <si>
    <t>Company_Name</t>
  </si>
  <si>
    <t>Starcom Solusindo</t>
  </si>
  <si>
    <t>Nama perusahaan untuk header dashboard.</t>
  </si>
  <si>
    <t>Currency_Code</t>
  </si>
  <si>
    <t>IDR</t>
  </si>
  <si>
    <t>Kode mata uang dashboard.</t>
  </si>
  <si>
    <t>Start_Year</t>
  </si>
  <si>
    <t>Tahun awal analisis.</t>
  </si>
  <si>
    <t>End_Year</t>
  </si>
  <si>
    <t>Tahun akhir analisis.</t>
  </si>
  <si>
    <t>Dashboard_Mode</t>
  </si>
  <si>
    <t>YEARLY</t>
  </si>
  <si>
    <t>YEARLY untuk template ini.</t>
  </si>
  <si>
    <t>MCR_Healthy_Range</t>
  </si>
  <si>
    <t>5–7%</t>
  </si>
  <si>
    <t>Band final MCR sehat.</t>
  </si>
  <si>
    <t>Gross_Margin_Healthy_Min</t>
  </si>
  <si>
    <t>Minimum Gross Margin sehat.</t>
  </si>
  <si>
    <t>KPI</t>
  </si>
  <si>
    <t>Target_Value</t>
  </si>
  <si>
    <t>Unit</t>
  </si>
  <si>
    <t>Threshold_Band</t>
  </si>
  <si>
    <t>Board_Use</t>
  </si>
  <si>
    <t>Revenue_Growth_Min</t>
  </si>
  <si>
    <t>%</t>
  </si>
  <si>
    <t>&gt;=20% = strong growth</t>
  </si>
  <si>
    <t>Batas minimum pertumbuhan revenue yang dianggap kuat.</t>
  </si>
  <si>
    <t>RPE_Growth_Min</t>
  </si>
  <si>
    <t>&gt;=15% = productivity expansion</t>
  </si>
  <si>
    <t>Batas minimum pertumbuhan Revenue per Employee.</t>
  </si>
  <si>
    <t>Headcount_Growth_Max_High_Leverage</t>
  </si>
  <si>
    <t>&lt;=10% = HC controlled</t>
  </si>
  <si>
    <t>Batas HC growth agar growth tetap high leverage.</t>
  </si>
  <si>
    <t>MCR_Ultra_Efficiency_Max</t>
  </si>
  <si>
    <t>&lt;5% = Ultra Efficiency</t>
  </si>
  <si>
    <t>MCR sangat rendah; perlu validasi kapasitas.</t>
  </si>
  <si>
    <t>MCR_Healthy_Min</t>
  </si>
  <si>
    <t>5–7% = Healthy</t>
  </si>
  <si>
    <t>Batas bawah MCR sehat.</t>
  </si>
  <si>
    <t>MCR_Healthy_Max</t>
  </si>
  <si>
    <t>Batas atas MCR sehat.</t>
  </si>
  <si>
    <t>MCR_Watch_Max</t>
  </si>
  <si>
    <t>7–9% = Watch</t>
  </si>
  <si>
    <t>Zona pantau people-cost.</t>
  </si>
  <si>
    <t>MCR_Cost_Pressure_Max</t>
  </si>
  <si>
    <t>9–14% = Cost Pressure</t>
  </si>
  <si>
    <t>Zona tekanan biaya manpower.</t>
  </si>
  <si>
    <t>MCR_Critical_Min</t>
  </si>
  <si>
    <t>&gt;14% = Critical</t>
  </si>
  <si>
    <t>Level kritikal people-cost terhadap revenue.</t>
  </si>
  <si>
    <t>Gross_Margin_Strong_Min</t>
  </si>
  <si>
    <t>&gt;35% = Strong</t>
  </si>
  <si>
    <t>Margin sangat kuat.</t>
  </si>
  <si>
    <t>25–35% = Healthy</t>
  </si>
  <si>
    <t>Margin sehat.</t>
  </si>
  <si>
    <t>Gross_Margin_Watch_Min</t>
  </si>
  <si>
    <t>15–25% = Watch</t>
  </si>
  <si>
    <t>Margin perlu dipantau.</t>
  </si>
  <si>
    <t>Gross_Margin_Pressure_Min</t>
  </si>
  <si>
    <t>10–15% = Pressure</t>
  </si>
  <si>
    <t>Margin mulai tertekan.</t>
  </si>
  <si>
    <t>Gross_Margin_Critical_Max</t>
  </si>
  <si>
    <t>&lt;10% = Critical</t>
  </si>
  <si>
    <t>Margin kritikal.</t>
  </si>
  <si>
    <t>Function_Group</t>
  </si>
  <si>
    <t>FJA_Category</t>
  </si>
  <si>
    <t>Value_Role</t>
  </si>
  <si>
    <t>Revenue_Impact</t>
  </si>
  <si>
    <t>Board_Interpretation</t>
  </si>
  <si>
    <t>Sales</t>
  </si>
  <si>
    <t>Revenue Generator</t>
  </si>
  <si>
    <t>Direct revenue creation</t>
  </si>
  <si>
    <t>Direct</t>
  </si>
  <si>
    <t>Fungsi penghasil revenue langsung; prioritaskan pipeline, conversion, dan retention sales key person.</t>
  </si>
  <si>
    <t>Operations/Project</t>
  </si>
  <si>
    <t>Revenue Enabler</t>
  </si>
  <si>
    <t>Delivery &amp; project execution</t>
  </si>
  <si>
    <t>Direct/Enabling</t>
  </si>
  <si>
    <t>Fungsi delivery yang mengonversi kontrak menjadi revenue recognized; monitor backlog, SLA, rework, dan utilisasi.</t>
  </si>
  <si>
    <t>Engineering</t>
  </si>
  <si>
    <t>Technical capability &amp; solution delivery</t>
  </si>
  <si>
    <t>Fungsi teknis yang menopang kualitas delivery dan scalability; monitor bottleneck, certification, dan dependency.</t>
  </si>
  <si>
    <t>Support</t>
  </si>
  <si>
    <t>Support Function</t>
  </si>
  <si>
    <t>Back-office support &amp; control</t>
  </si>
  <si>
    <t>Indirect</t>
  </si>
  <si>
    <t>Fungsi pendukung; jaga proporsi agar tidak tumbuh lebih cepat dari revenue driver/enabler.</t>
  </si>
  <si>
    <t>Management</t>
  </si>
  <si>
    <t>Governance / Management</t>
  </si>
  <si>
    <t>Leadership &amp; governance</t>
  </si>
  <si>
    <t>Indirect/Strategic</t>
  </si>
  <si>
    <t>Fungsi pengarah dan kontrol; harus proporsional terhadap growth dan kompleksitas bisnis.</t>
  </si>
  <si>
    <t>UNMAPPED</t>
  </si>
  <si>
    <t>Unmapped</t>
  </si>
  <si>
    <t>Needs cleanup</t>
  </si>
  <si>
    <t>Unknown</t>
  </si>
  <si>
    <t>Mapping belum lengkap; perbaiki Function_Group di DIM_DEPARTMENT agar analisis FJA akurat.</t>
  </si>
  <si>
    <t>Dept_ID</t>
  </si>
  <si>
    <t>Dept_Name</t>
  </si>
  <si>
    <t>Revenue_Driver_Flag</t>
  </si>
  <si>
    <t>FJA_Category_Override</t>
  </si>
  <si>
    <t>Notes</t>
  </si>
  <si>
    <t>D001</t>
  </si>
  <si>
    <t>Y</t>
  </si>
  <si>
    <t>Sales &amp; account management</t>
  </si>
  <si>
    <t>D002</t>
  </si>
  <si>
    <t>Operations</t>
  </si>
  <si>
    <t>Project delivery / operations</t>
  </si>
  <si>
    <t>D003</t>
  </si>
  <si>
    <t>HRGA</t>
  </si>
  <si>
    <t>N</t>
  </si>
  <si>
    <t>People &amp; general affairs</t>
  </si>
  <si>
    <t>D004</t>
  </si>
  <si>
    <t>Procurement</t>
  </si>
  <si>
    <t>Purchasing &amp; vendor management</t>
  </si>
  <si>
    <t>D005</t>
  </si>
  <si>
    <t>Prodev</t>
  </si>
  <si>
    <t>Product/technical development</t>
  </si>
  <si>
    <t>D006</t>
  </si>
  <si>
    <t>Finance</t>
  </si>
  <si>
    <t>Finance &amp; accounting</t>
  </si>
  <si>
    <t>D007</t>
  </si>
  <si>
    <t>Executive/governance</t>
  </si>
  <si>
    <t>Employee_ID</t>
  </si>
  <si>
    <t>Employee_Name</t>
  </si>
  <si>
    <t>Position</t>
  </si>
  <si>
    <t>Employment_Type</t>
  </si>
  <si>
    <t>Join_Date</t>
  </si>
  <si>
    <t>Exit_Date</t>
  </si>
  <si>
    <t>Critical_Role_Flag</t>
  </si>
  <si>
    <t>E001</t>
  </si>
  <si>
    <t>Sample Sales Lead</t>
  </si>
  <si>
    <t>Sales Manager</t>
  </si>
  <si>
    <t>Permanent</t>
  </si>
  <si>
    <t>2021-01-01</t>
  </si>
  <si>
    <t>Example</t>
  </si>
  <si>
    <t>E002</t>
  </si>
  <si>
    <t>Sample Engineer</t>
  </si>
  <si>
    <t>Senior Engineer</t>
  </si>
  <si>
    <t>E003</t>
  </si>
  <si>
    <t>Sample Ops</t>
  </si>
  <si>
    <t>Project Coordinator</t>
  </si>
  <si>
    <t>Contract</t>
  </si>
  <si>
    <t>2022-03-01</t>
  </si>
  <si>
    <t>Year</t>
  </si>
  <si>
    <t>Business_Line</t>
  </si>
  <si>
    <t>Revenue_Recognized</t>
  </si>
  <si>
    <t>COGS_Direct</t>
  </si>
  <si>
    <t>Gross_Profit</t>
  </si>
  <si>
    <t>Gross_Margin_Pct</t>
  </si>
  <si>
    <t>Total Company</t>
  </si>
  <si>
    <t>Sample data - replace with actual</t>
  </si>
  <si>
    <t>Sample 2026 - replace with actual</t>
  </si>
  <si>
    <t>Direct_or_Allocated</t>
  </si>
  <si>
    <t>Allocation_Method</t>
  </si>
  <si>
    <t>Allocated</t>
  </si>
  <si>
    <t>Pipeline/Account ownership</t>
  </si>
  <si>
    <t>Sample</t>
  </si>
  <si>
    <t>Delivery ownership</t>
  </si>
  <si>
    <t>Technical delivery</t>
  </si>
  <si>
    <t>Sample 2026</t>
  </si>
  <si>
    <t>Avg_Headcount</t>
  </si>
  <si>
    <t>Avg_FTE</t>
  </si>
  <si>
    <t>New_Hires</t>
  </si>
  <si>
    <t>Exits</t>
  </si>
  <si>
    <t>Payroll_Gross</t>
  </si>
  <si>
    <t>Overtime</t>
  </si>
  <si>
    <t>Bonus</t>
  </si>
  <si>
    <t>Benefits</t>
  </si>
  <si>
    <t>Employer_Tax</t>
  </si>
  <si>
    <t>Total_Manpower_Cost</t>
  </si>
  <si>
    <t>Payment_Type</t>
  </si>
  <si>
    <t>Payroll</t>
  </si>
  <si>
    <t>Joiners</t>
  </si>
  <si>
    <t>Leavers</t>
  </si>
  <si>
    <t>Internal_Transfer_In</t>
  </si>
  <si>
    <t>Internal_Transfer_Out</t>
  </si>
  <si>
    <t>Project_ID</t>
  </si>
  <si>
    <t>Customer</t>
  </si>
  <si>
    <t>Revenue</t>
  </si>
  <si>
    <t>COGS</t>
  </si>
  <si>
    <t>Project_Status</t>
  </si>
  <si>
    <t>P001</t>
  </si>
  <si>
    <t>Customer A</t>
  </si>
  <si>
    <t>Managed Service</t>
  </si>
  <si>
    <t>Active</t>
  </si>
  <si>
    <t>P002</t>
  </si>
  <si>
    <t>Customer B</t>
  </si>
  <si>
    <t>Network Deployment</t>
  </si>
  <si>
    <t>Closed</t>
  </si>
  <si>
    <t>P003</t>
  </si>
  <si>
    <t>Customer C</t>
  </si>
  <si>
    <t>Maintenance</t>
  </si>
  <si>
    <t>P004</t>
  </si>
  <si>
    <t>Customer D</t>
  </si>
  <si>
    <t>P005</t>
  </si>
  <si>
    <t>Customer E</t>
  </si>
  <si>
    <t>P006</t>
  </si>
  <si>
    <t>Customer F</t>
  </si>
  <si>
    <t>Avg_Utilization_Pct</t>
  </si>
  <si>
    <t>Overtime_Hours</t>
  </si>
  <si>
    <t>Backlog_Count</t>
  </si>
  <si>
    <t>SLA_Breach_Count</t>
  </si>
  <si>
    <t>Incident_Count</t>
  </si>
  <si>
    <t>Turnover_Count</t>
  </si>
  <si>
    <t>Critical_Role_Dependency</t>
  </si>
  <si>
    <t>Medium</t>
  </si>
  <si>
    <t>High</t>
  </si>
  <si>
    <t>Low</t>
  </si>
  <si>
    <t>SEP V4 Recommended Target</t>
  </si>
  <si>
    <t>&gt;30% = strong for project-based telco/IT integrator</t>
  </si>
  <si>
    <t>20–30% = healthy</t>
  </si>
  <si>
    <t>15–20% = watch</t>
  </si>
  <si>
    <t>10–15% = pressure</t>
  </si>
  <si>
    <t>5–7% = healthy</t>
  </si>
  <si>
    <t>7–9% = watch</t>
  </si>
  <si>
    <t>9–14% = pressure</t>
  </si>
  <si>
    <t>SEP V4 Executive Summary</t>
  </si>
  <si>
    <t>Calculated dynamically in Streamlit</t>
  </si>
  <si>
    <t>App file</t>
  </si>
  <si>
    <t>sep_v4_app.py</t>
  </si>
  <si>
    <t>Default workbook</t>
  </si>
  <si>
    <t>SEP_V4_Executive_Platform_Template.xlsx</t>
  </si>
  <si>
    <t>Note</t>
  </si>
  <si>
    <t>This sheet is intentionally static to avoid stale formula errors.</t>
  </si>
  <si>
    <t>Months_Closed</t>
  </si>
  <si>
    <t>Period_Type</t>
  </si>
  <si>
    <t>Period_Label</t>
  </si>
  <si>
    <t>Annualization_Factor</t>
  </si>
  <si>
    <t>Data_Confidence</t>
  </si>
  <si>
    <t>YTD_Comparable_Logic</t>
  </si>
  <si>
    <t>FY</t>
  </si>
  <si>
    <t>FY 2021</t>
  </si>
  <si>
    <t>Full-year actual</t>
  </si>
  <si>
    <t>Uses MONTHLY_KPI Jan-Jun if available; otherwise proxy 6/12.</t>
  </si>
  <si>
    <t>FY 2022</t>
  </si>
  <si>
    <t>FY 2023</t>
  </si>
  <si>
    <t>FY 2024</t>
  </si>
  <si>
    <t>YTD</t>
  </si>
  <si>
    <t>YTD Jun 2026</t>
  </si>
  <si>
    <t>YTD actual</t>
  </si>
  <si>
    <t>Annual Projection uses 12/6=2. If 2026 is 4 months, set Months_Closed=4.</t>
  </si>
  <si>
    <t>Section</t>
  </si>
  <si>
    <t>Purpose</t>
  </si>
  <si>
    <t>How to Present</t>
  </si>
  <si>
    <t>Board Question Answered</t>
  </si>
  <si>
    <t>Management Insight Engine</t>
  </si>
  <si>
    <t>Menjelaskan mengapa KPI berubah.</t>
  </si>
  <si>
    <t>Bacakan 2-3 insight utama: revenue vs HC, MCR vs capacity, margin quality.</t>
  </si>
  <si>
    <t>Kenapa angka bergerak seperti ini?</t>
  </si>
  <si>
    <t>Hiring Decision Engine</t>
  </si>
  <si>
    <t>Memberi rekomendasi Hire/Hold/Freeze per department.</t>
  </si>
  <si>
    <t>Tunjukkan fungsi yang direkomendasikan HIRE dan alasan bottleneck-nya.</t>
  </si>
  <si>
    <t>Apakah kita perlu tambah orang? Di fungsi mana?</t>
  </si>
  <si>
    <t>Scenario Simulator Plus</t>
  </si>
  <si>
    <t>Menghitung dampak tambahan HC dan revenue growth terhadap MCR/RPE.</t>
  </si>
  <si>
    <t>Gunakan slider untuk simulasi keputusan hiring sebelum disetujui.</t>
  </si>
  <si>
    <t>Kalau tambah orang, MCR jadi berapa?</t>
  </si>
  <si>
    <t>CEO One-Page</t>
  </si>
  <si>
    <t>Ringkasan satu halaman untuk CEO/Direksi.</t>
  </si>
  <si>
    <t>Gunakan sebagai slide pembuka/penutup.</t>
  </si>
  <si>
    <t>Apa kondisi perusahaan secara cepat?</t>
  </si>
  <si>
    <t>12-Month Roadmap</t>
  </si>
  <si>
    <t>Prioritas aksi 0-3, 3-6, dan 6-12 bulan.</t>
  </si>
  <si>
    <t>Jadikan rencana tindak lanjut setelah presentasi.</t>
  </si>
  <si>
    <t>Apa yang harus dilakukan 12 bulan ke depan?</t>
  </si>
  <si>
    <t>Executive Closing Report</t>
  </si>
  <si>
    <t>Kesimpulan akhir siap dibacakan.</t>
  </si>
  <si>
    <t>Baca sebagai closing statement rapat.</t>
  </si>
  <si>
    <t>Keputusan akhir apa yang direkomendasikan?</t>
  </si>
  <si>
    <t>Input/Data yang Mempengaruhi Engine</t>
  </si>
  <si>
    <t>Sheet</t>
  </si>
  <si>
    <t>Kolom Penting</t>
  </si>
  <si>
    <t>Catatan</t>
  </si>
  <si>
    <t>Capacity Risk</t>
  </si>
  <si>
    <t>CAPACITY_INDICATOR</t>
  </si>
  <si>
    <t>Avg_Utilization_Pct, Overtime_Hours, Backlog_Count, SLA_Breach_Count</t>
  </si>
  <si>
    <t>Semakin lengkap data ini, semakin akurat Hiring Decision.</t>
  </si>
  <si>
    <t>Department Productivity</t>
  </si>
  <si>
    <t>REVENUE_BY_DEPT + PAYROLL_YR + HEADCOUNT_YR</t>
  </si>
  <si>
    <t>Dept_Revenue, Manpower_Cost, Headcount</t>
  </si>
  <si>
    <t>Jika REVENUE_BY_DEPT kosong, rekomendasi memakai sinyal capacity/headcount.</t>
  </si>
  <si>
    <t>MCR Guardrail</t>
  </si>
  <si>
    <t>TARGETS</t>
  </si>
  <si>
    <t>Default healthy max 7%.</t>
  </si>
  <si>
    <t>Scenario Simulator</t>
  </si>
  <si>
    <t>PAYROLL_YR + HEADCOUNT_YR</t>
  </si>
  <si>
    <t>Cost_per_HC, Total_Manpower_Cost</t>
  </si>
  <si>
    <t>Avg cost dapat diubah manual di dashboard.</t>
  </si>
  <si>
    <t>Dashboard Area</t>
  </si>
  <si>
    <t>Visual Added</t>
  </si>
  <si>
    <t>KPI Movement Driver chart</t>
  </si>
  <si>
    <t>Melihat KPI mana yang mendorong perubahan.</t>
  </si>
  <si>
    <t>Tunjukkan apakah Revenue, HC, RPE, MCR, atau GM yang paling mempengaruhi narasi.</t>
  </si>
  <si>
    <t>Management Attention Map</t>
  </si>
  <si>
    <t>Memprioritaskan area yang harus dibahas Direksi.</t>
  </si>
  <si>
    <t>Fokus pada bar paling tinggi terlebih dahulu.</t>
  </si>
  <si>
    <t>Hiring Decision Count</t>
  </si>
  <si>
    <t>Melihat jumlah departemen yang HIRE/HOLD/FREEZE/SELECTIVE.</t>
  </si>
  <si>
    <t>Gunakan sebagai ringkasan kebijakan hiring.</t>
  </si>
  <si>
    <t>Hiring Priority Map</t>
  </si>
  <si>
    <t>Membaca hubungan utilization vs revenue per cost.</t>
  </si>
  <si>
    <t>Area utilization tinggi + revenue per cost baik layak jadi prioritas hiring.</t>
  </si>
  <si>
    <t>MCR Sensitivity line</t>
  </si>
  <si>
    <t>Menunjukkan dampak tambahan HC terhadap MCR.</t>
  </si>
  <si>
    <t>Gunakan untuk menjawab berapa HC tambahan yang masih aman.</t>
  </si>
  <si>
    <t>RPE Sensitivity line</t>
  </si>
  <si>
    <t>Menunjukkan dampak tambahan HC terhadap produktivitas.</t>
  </si>
  <si>
    <t>Jika RPE turun tajam, hiring harus ditahan atau revenue uplift harus lebih besar.</t>
  </si>
  <si>
    <t>Board Score Gauge</t>
  </si>
  <si>
    <t>Satu angka status perusahaan untuk CEO.</t>
  </si>
  <si>
    <t>Gunakan sebagai opening/closing slide.</t>
  </si>
  <si>
    <t>CEO Health Snapshot</t>
  </si>
  <si>
    <t>Meringkas score tiap komponen utama.</t>
  </si>
  <si>
    <t>Tunjukkan area yang kuat dan yang melemah.</t>
  </si>
  <si>
    <t>Executive Closing</t>
  </si>
  <si>
    <t>Executive Closing Priority</t>
  </si>
  <si>
    <t>Menutup rapat dengan prioritas keputusan.</t>
  </si>
  <si>
    <t>Bacakan 3 prioritas tertinggi.</t>
  </si>
  <si>
    <t>Roadmap Priority Mix</t>
  </si>
  <si>
    <t>Melihat bobot prioritas roadmap.</t>
  </si>
  <si>
    <t>Tunjukkan apakah action plan lebih banyak critical/high/medium.</t>
  </si>
  <si>
    <t>SEP V4 Module</t>
  </si>
  <si>
    <t>Visual / Output</t>
  </si>
  <si>
    <t>Executive Cockpit</t>
  </si>
  <si>
    <t>Company Health Index dan Executive KPI Radar</t>
  </si>
  <si>
    <t>Gauge, radar, score bars</t>
  </si>
  <si>
    <t>Apakah perusahaan sehat secara revenue, people cost, margin, dan capacity?</t>
  </si>
  <si>
    <t>Workforce Portfolio</t>
  </si>
  <si>
    <t>BCG-style manpower portfolio</t>
  </si>
  <si>
    <t>Portfolio matrix + portfolio mix</t>
  </si>
  <si>
    <t>Fungsi mana yang harus di-scale, di-review, atau di-automate?</t>
  </si>
  <si>
    <t>Risk &amp; Decision Matrix</t>
  </si>
  <si>
    <t>Prioritisasi risiko dan keputusan</t>
  </si>
  <si>
    <t>Risk matrix + decision cards</t>
  </si>
  <si>
    <t>Keputusan apa yang harus diambil Board?</t>
  </si>
  <si>
    <t>Presentation Mode</t>
  </si>
  <si>
    <t>Alur presentasi Direksi</t>
  </si>
  <si>
    <t>Slide flow table + duration chart</t>
  </si>
  <si>
    <t>Bagaimana mempresentasikan dashboard ini secara runtut?</t>
  </si>
  <si>
    <t>Executive Pack</t>
  </si>
  <si>
    <t>Closing message dan top decision</t>
  </si>
  <si>
    <t>Company health, board decision, top risk</t>
  </si>
  <si>
    <t>Apa kesimpulan akhir rapat?</t>
  </si>
  <si>
    <t>Analysis Mode</t>
  </si>
  <si>
    <t>When to Use</t>
  </si>
  <si>
    <t>Important Note</t>
  </si>
  <si>
    <t>Actual</t>
  </si>
  <si>
    <t>Membaca angka sesuai input</t>
  </si>
  <si>
    <t>Untuk melihat realisasi apa adanya</t>
  </si>
  <si>
    <t>Tidak apple-to-apple jika YTD vs FY</t>
  </si>
  <si>
    <t>YTD Comparable</t>
  </si>
  <si>
    <t>Menyamakan semua tahun ke basis bulan YTD</t>
  </si>
  <si>
    <t>Untuk membandingkan 2025 vs 2026 YTD</t>
  </si>
  <si>
    <t>Proxy jika data bulanan belum tersedia</t>
  </si>
  <si>
    <t>Annual Projection</t>
  </si>
  <si>
    <t>Menyetahunkan YTD</t>
  </si>
  <si>
    <t>Untuk proyeksi FY berjalan</t>
  </si>
  <si>
    <t>Jika Months_Closed=4 maka x3</t>
  </si>
  <si>
    <t>MCR Focus</t>
  </si>
  <si>
    <t>Revenue projected, cost actual/YTD</t>
  </si>
  <si>
    <t>Untuk stress-test MCR dan GM</t>
  </si>
  <si>
    <t>MCR dan GM akan berubah karena denominator berubah</t>
  </si>
  <si>
    <t>Board</t>
  </si>
  <si>
    <t>Business Question</t>
  </si>
  <si>
    <t>Main Content</t>
  </si>
  <si>
    <t>Do Not Mix With</t>
  </si>
  <si>
    <t>Suggested Duration</t>
  </si>
  <si>
    <t>1. Executive Summary</t>
  </si>
  <si>
    <t>Kondisi perusahaan saat ini bagaimana?</t>
  </si>
  <si>
    <t>Company Health, Revenue, MCR, RPE, GM, Board Memo</t>
  </si>
  <si>
    <t>Benchmark detail, formula, appendix</t>
  </si>
  <si>
    <t>3 min</t>
  </si>
  <si>
    <t>2. Revenue &amp; Productivity</t>
  </si>
  <si>
    <t>Apakah revenue tumbuh bersama produktivitas?</t>
  </si>
  <si>
    <t>Revenue trend, RPE, MCR, margin, growth drivers, project/service line productivity</t>
  </si>
  <si>
    <t>Hiring recommendation</t>
  </si>
  <si>
    <t>4 min</t>
  </si>
  <si>
    <t>3. Workforce Performance</t>
  </si>
  <si>
    <t>Apakah struktur SDM sudah optimal?</t>
  </si>
  <si>
    <t>FJA mix, department productivity, workforce portfolio</t>
  </si>
  <si>
    <t>Benchmark methodology</t>
  </si>
  <si>
    <t>4. Capacity &amp; Delivery Risk</t>
  </si>
  <si>
    <t>Apakah organisasi mulai overload?</t>
  </si>
  <si>
    <t>Capacity score, utilization, overtime, SLA, backlog, dependency</t>
  </si>
  <si>
    <t>Revenue trend detail</t>
  </si>
  <si>
    <t>5 min</t>
  </si>
  <si>
    <t>5. Strategic Decision Center</t>
  </si>
  <si>
    <t>Keputusan apa yang harus diambil?</t>
  </si>
  <si>
    <t>Insight, hiring decision, scenario, roadmap</t>
  </si>
  <si>
    <t>Formula appendix</t>
  </si>
  <si>
    <t>6. Executive Benchmark &amp; Methodology</t>
  </si>
  <si>
    <t>Mengapa target dapat dipercaya?</t>
  </si>
  <si>
    <t>KPI Target Framework, source basis, methodology, governance</t>
  </si>
  <si>
    <t>Operational dashboard charts</t>
  </si>
  <si>
    <t>7. CEO Closing Report</t>
  </si>
  <si>
    <t>Apa kesimpulan akhir dan tindakan berikutnya?</t>
  </si>
  <si>
    <t>Overall assessment, top decisions, roadmap, board statement</t>
  </si>
  <si>
    <t>Raw data detail</t>
  </si>
  <si>
    <t>8. Appendix</t>
  </si>
  <si>
    <t>Apa definisi dan formula detailnya?</t>
  </si>
  <si>
    <t>Formula, glossary, data source, governance</t>
  </si>
  <si>
    <t>Executive summary</t>
  </si>
  <si>
    <t>Month_No</t>
  </si>
  <si>
    <t>Month_Name</t>
  </si>
  <si>
    <t>Jan</t>
  </si>
  <si>
    <t>COMPANY_TOTAL</t>
  </si>
  <si>
    <t>Company Total</t>
  </si>
  <si>
    <t>Generated from yearly data; replace with actual monthly revenue/COGS if available.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</si>
  <si>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</si>
  <si>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</si>
  <si>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</si>
  <si>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</si>
  <si>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</si>
  <si>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</si>
  <si>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</si>
  <si>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</si>
  <si>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</si>
  <si>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</si>
  <si>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</si>
  <si>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Topic</t>
  </si>
  <si>
    <t>What Changed</t>
  </si>
  <si>
    <t>Impact</t>
  </si>
  <si>
    <t>How to Use</t>
  </si>
  <si>
    <t>YTD Comparable with MONTHLY_KPI</t>
  </si>
  <si>
    <t>Dashboard now reads actual monthly data up to Months_Closed.</t>
  </si>
  <si>
    <t>Gross Margin, MCR, RPE, Board Score, Hiring Decision, CEO One-Page, and Executive Closing will change based on monthly actuals.</t>
  </si>
  <si>
    <t>Fill MONTHLY_KPI with Jan-Jun 2025 and Jan-Jun 2026 actual data for true apple-to-apple comparison.</t>
  </si>
  <si>
    <t>Fallback Logic</t>
  </si>
  <si>
    <t>If MONTHLY_KPI is missing/blank, dashboard uses FY proxy.</t>
  </si>
  <si>
    <t>2025 is approximated as 6/12 of FY 2025 when 2026 Months_Closed=6.</t>
  </si>
  <si>
    <t>Use fallback only when actual monthly data is not available.</t>
  </si>
  <si>
    <t>Revenue/COGS Rows</t>
  </si>
  <si>
    <t>Use Dept_ID = COMPANY_TOTAL for company revenue/COGS.</t>
  </si>
  <si>
    <t>Prevents double counting revenue by department.</t>
  </si>
  <si>
    <t>Replace generated equal monthly split with real monthly figures.</t>
  </si>
  <si>
    <t>Headcount/Payroll Rows</t>
  </si>
  <si>
    <t>Use real Dept_ID for department HC and manpower cost.</t>
  </si>
  <si>
    <t>MCR and department productivity become month-level actual.</t>
  </si>
  <si>
    <t>Replace generated monthly split with real payroll and HC figures.</t>
  </si>
  <si>
    <t>Still uses 12 / Months_Closed.</t>
  </si>
  <si>
    <t>If 2026 Months_Closed=6, annual projection factor is 2; if 4, factor is 3.</t>
  </si>
  <si>
    <t>Change CALENDAR Months_Closed.</t>
  </si>
  <si>
    <t>KPI Target Framework</t>
  </si>
  <si>
    <t>Based on Telecommunications &amp; IT System Integrator Benchmark</t>
  </si>
  <si>
    <t>Framework Target</t>
  </si>
  <si>
    <t>Status Logic</t>
  </si>
  <si>
    <t>Benchmark Basis</t>
  </si>
  <si>
    <t>Why It Matters</t>
  </si>
  <si>
    <t>Confidence</t>
  </si>
  <si>
    <t>Governance Owner</t>
  </si>
  <si>
    <t>Review Cycle</t>
  </si>
  <si>
    <t>Revenue Growth</t>
  </si>
  <si>
    <t>15–25% Healthy; &gt;25% Strong</t>
  </si>
  <si>
    <t>&lt;0% Critical; 0–5% Pressure; 5–15% Watch; 15–25% Healthy; &gt;25% Strong</t>
  </si>
  <si>
    <t>Annual report peer comparison + management growth target</t>
  </si>
  <si>
    <t>Measures business growth momentum</t>
  </si>
  <si>
    <t>Finance / CEO</t>
  </si>
  <si>
    <t>Quarterly</t>
  </si>
  <si>
    <t>RPE Growth</t>
  </si>
  <si>
    <t>&gt;=15% Strong</t>
  </si>
  <si>
    <t>&lt;0% Critical; 0–8% Watch; 8–15% Healthy; &gt;=15% Strong</t>
  </si>
  <si>
    <t>Human capital productivity benchmark + internal trend</t>
  </si>
  <si>
    <t>Measures productivity per employee</t>
  </si>
  <si>
    <t>HR / Finance</t>
  </si>
  <si>
    <t>Headcount Growth</t>
  </si>
  <si>
    <t>&lt;=10% Controlled</t>
  </si>
  <si>
    <t>&lt;=5% Lean; 5–10% Healthy; 10–20% Expansion; &gt;20% Aggressive</t>
  </si>
  <si>
    <t>Workforce planning and organization design practice</t>
  </si>
  <si>
    <t>Controls fixed cost expansion</t>
  </si>
  <si>
    <t>HR</t>
  </si>
  <si>
    <t>MCR</t>
  </si>
  <si>
    <t>5–7% Healthy; 7–9% Watch</t>
  </si>
  <si>
    <t>&lt;5% Ultra Efficient; 5–7% Healthy; 7–9% Watch; 9–14% Cost Pressure; &gt;14% Critical</t>
  </si>
  <si>
    <t>Internal management benchmark for project-based telco/IT integrator</t>
  </si>
  <si>
    <t>Measures people-cost leverage against revenue</t>
  </si>
  <si>
    <t>Finance / HR</t>
  </si>
  <si>
    <t>Monthly</t>
  </si>
  <si>
    <t>Gross Margin</t>
  </si>
  <si>
    <t>20–30% Healthy; &gt;30% Strong</t>
  </si>
  <si>
    <t>&lt;10% Critical; 10–15% Pressure; 15–20% Watch; 20–30% Healthy; &gt;30% Strong</t>
  </si>
  <si>
    <t>Telco/IT integrator project margin benchmark + internal historical trend</t>
  </si>
  <si>
    <t>Measures revenue quality after direct cost</t>
  </si>
  <si>
    <t>Finance / Operations</t>
  </si>
  <si>
    <t>Capacity Utilization</t>
  </si>
  <si>
    <t>75–85% Optimal</t>
  </si>
  <si>
    <t>&lt;75% Available Capacity; 75–85% Optimal; 85–90% Watch; &gt;90% Overload Risk</t>
  </si>
  <si>
    <t>Service operations and capacity planning practice</t>
  </si>
  <si>
    <t>Detects overload and delivery risk</t>
  </si>
  <si>
    <t>Operations / HR</t>
  </si>
  <si>
    <t>Capacity Score</t>
  </si>
  <si>
    <t>0–30 Low</t>
  </si>
  <si>
    <t>0–30 Low; 31–55 Medium; 56–75 High; 76–100 Critical</t>
  </si>
  <si>
    <t>Internal risk scoring based on utilization, overtime, backlog, SLA, turnover, dependency</t>
  </si>
  <si>
    <t>Summarizes delivery and capacity risk</t>
  </si>
  <si>
    <t>Support Cost Share</t>
  </si>
  <si>
    <t>Monitor trend</t>
  </si>
  <si>
    <t>Rising support share without RPE improvement = review</t>
  </si>
  <si>
    <t>Organization leverage practice</t>
  </si>
  <si>
    <t>Prevents support cost from weakening operating leverage</t>
  </si>
  <si>
    <t>Methodology</t>
  </si>
  <si>
    <t>Benchmark target = external reference + peer annual report review + internal historical trend + management risk appetite</t>
  </si>
  <si>
    <t>This framework is a management benchmark, not a statutory or regulatory standard.</t>
  </si>
  <si>
    <t>Benchmark Sources to Track</t>
  </si>
  <si>
    <t>Telco &amp; IT integrator annual reports; APQC; Saratoga/PwC Human Capital Benchmark; Gartner; Deloitte; McKinsey; BCG; internal historical performance</t>
  </si>
  <si>
    <t>Formula</t>
  </si>
  <si>
    <t>Interpretation</t>
  </si>
  <si>
    <t>Primary Sheet</t>
  </si>
  <si>
    <t>Owner</t>
  </si>
  <si>
    <t>Total_Manpower_Cost / Total_Revenue</t>
  </si>
  <si>
    <t>Porsi biaya manpower terhadap revenue</t>
  </si>
  <si>
    <t>PAYROLL_YR + REVENUE_YR / MONTHLY_KPI</t>
  </si>
  <si>
    <t>RPE</t>
  </si>
  <si>
    <t>Total_Revenue / Average Headcount</t>
  </si>
  <si>
    <t>Revenue per employee</t>
  </si>
  <si>
    <t>REVENUE_YR + HEADCOUNT_YR / MONTHLY_KPI</t>
  </si>
  <si>
    <t>(Revenue - COGS) / Revenue</t>
  </si>
  <si>
    <t>Kualitas revenue setelah direct cost</t>
  </si>
  <si>
    <t>REVENUE_YR / MONTHLY_KPI</t>
  </si>
  <si>
    <t>Cost per HC</t>
  </si>
  <si>
    <t>Total_Manpower_Cost / Average Headcount</t>
  </si>
  <si>
    <t>Rata-rata biaya manpower per orang</t>
  </si>
  <si>
    <t>Weighted score: utilization, overtime, backlog, SLA, turnover, dependency</t>
  </si>
  <si>
    <t>Risiko overload delivery capacity</t>
  </si>
  <si>
    <t>Revenue per Payroll</t>
  </si>
  <si>
    <t>Revenue / Total_Manpower_Cost</t>
  </si>
  <si>
    <t>Revenue yang dihasilkan per 1 rupiah payroll</t>
  </si>
  <si>
    <t>REVENUE_YR + PAYROLL_YR</t>
  </si>
  <si>
    <t>Project Revenue Share</t>
  </si>
  <si>
    <t>Project_Category Revenue / Total Project Revenue</t>
  </si>
  <si>
    <t>Kontribusi revenue per service line/project type</t>
  </si>
  <si>
    <t>PROJECT_PRODUCTIVITY</t>
  </si>
  <si>
    <t>Sales / Operations</t>
  </si>
  <si>
    <t>Project MCR</t>
  </si>
  <si>
    <t>Project Manpower Cost / Project Revenue</t>
  </si>
  <si>
    <t>Efisiensi manpower per service line</t>
  </si>
  <si>
    <t>Project Revenue per HC</t>
  </si>
  <si>
    <t>Project Revenue / HC Allocated</t>
  </si>
  <si>
    <t>Produktivitas manpower per project/service line</t>
  </si>
  <si>
    <t>Project Revenue per Hour</t>
  </si>
  <si>
    <t>Project Revenue / Project Hours</t>
  </si>
  <si>
    <t>Produktivitas jam kerja project/service line</t>
  </si>
  <si>
    <t>Project_Name</t>
  </si>
  <si>
    <t>Project_Category</t>
  </si>
  <si>
    <t>Manpower_Cost</t>
  </si>
  <si>
    <t>Project_Hours</t>
  </si>
  <si>
    <t>HC_Allocated</t>
  </si>
  <si>
    <t>Sites_or_Tickets</t>
  </si>
  <si>
    <t>MCR_Pct</t>
  </si>
  <si>
    <t>Revenue_per_HC</t>
  </si>
  <si>
    <t>Revenue_per_Hour</t>
  </si>
  <si>
    <t>PP001</t>
  </si>
  <si>
    <t>Managed Service / SLA Operations</t>
  </si>
  <si>
    <t>Telecom &amp; IT System Integrator</t>
  </si>
  <si>
    <t>Sample benchmark categories for telecom &amp; IT system integrator. Replace with actual project/service-line data.</t>
  </si>
  <si>
    <t>PP002</t>
  </si>
  <si>
    <t>Network Deployment &amp; Installation</t>
  </si>
  <si>
    <t>Network Deployment/Installation</t>
  </si>
  <si>
    <t>PP003</t>
  </si>
  <si>
    <t>Network Maintenance &amp; Corrective Support</t>
  </si>
  <si>
    <t>Network Maintenance</t>
  </si>
  <si>
    <t>PP004</t>
  </si>
  <si>
    <t>NOC &amp; Monitoring Service</t>
  </si>
  <si>
    <t>NOC/Monitoring</t>
  </si>
  <si>
    <t>PP005</t>
  </si>
  <si>
    <t>IT Infrastructure &amp; System Integration</t>
  </si>
  <si>
    <t>IT Infrastructure/System Integration</t>
  </si>
  <si>
    <t>PP006</t>
  </si>
  <si>
    <t>CCTV / IoT / Security System</t>
  </si>
  <si>
    <t>CCTV/IoT/Security</t>
  </si>
  <si>
    <t>PP007</t>
  </si>
  <si>
    <t>Cloud / Data Center / Server</t>
  </si>
  <si>
    <t>Cloud/Data Center</t>
  </si>
  <si>
    <t>PP008</t>
  </si>
  <si>
    <t>Professional Service / Consulting</t>
  </si>
  <si>
    <t>Professional Service</t>
  </si>
  <si>
    <t>Recommended Categories</t>
  </si>
  <si>
    <t>What to Fill</t>
  </si>
  <si>
    <t>How to Read</t>
  </si>
  <si>
    <t>Revenue contribution by service line</t>
  </si>
  <si>
    <t>Revenue, COGS, Manpower Cost, Hours, HC, Tickets/Sites, SLA Breach</t>
  </si>
  <si>
    <t>High revenue share + healthy GM + low MCR = strong service line.</t>
  </si>
  <si>
    <t>Project rollout revenue, direct cost, manpower cost, project hours, site count</t>
  </si>
  <si>
    <t>High revenue but low GM means pricing/COGS/scope creep needs review.</t>
  </si>
  <si>
    <t>Corrective/preventive maintenance revenue, manpower, tickets, SLA breach</t>
  </si>
  <si>
    <t>High tickets and SLA breach may signal capacity risk.</t>
  </si>
  <si>
    <t>Monitoring service revenue, NOC manpower, tickets, SLA breach</t>
  </si>
  <si>
    <t>Good for recurring revenue and managed operations productivity.</t>
  </si>
  <si>
    <t>Server, network, storage, implementation project data</t>
  </si>
  <si>
    <t>Watch COGS and subcontractor cost.</t>
  </si>
  <si>
    <t>Device/project revenue and installation manpower</t>
  </si>
  <si>
    <t>Useful for project-based margin and manpower productivity.</t>
  </si>
  <si>
    <t>Cloud/server/data center revenue and direct cost</t>
  </si>
  <si>
    <t>Usually higher margin if recurring support exists.</t>
  </si>
  <si>
    <t>Consulting/support revenue, hours, HC allocation</t>
  </si>
  <si>
    <t>Revenue per hour and revenue per HC are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</si>
</sst>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%"/>
    <numFmt numFmtId="165" formatCode="yyyy\-mm\-dd"/>
    <numFmt numFmtId="166" formatCode="0.0"/>
    <numFmt numFmtId="167" formatCode="0.00\x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165" fontId="2" fillId="3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wrapText="1"/>
    </xf>
    <xf numFmtId="0" fontId="2" fillId="4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wrapText="1"/>
    </xf>
    <xf numFmtId="41" fontId="0" fillId="0" borderId="0" xfId="1" applyFont="1" applyFill="1" applyAlignment="1">
      <alignment wrapText="1"/>
    </xf>
    <xf numFmtId="41" fontId="0" fillId="0" borderId="0" xfId="0" applyNumberFormat="1"/>
    <xf numFmtId="0" fontId="2" fillId="6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2" fillId="7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/>
    <xf numFmtId="0" fontId="3" fillId="8" borderId="0" xfId="0" applyNumberFormat="1" applyFont="1" applyFill="1" applyAlignment="1">
      <alignment horizontal="center" vertical="center" wrapText="1"/>
    </xf>
    <xf numFmtId="0" fontId="2" fillId="8" borderId="0" xfId="0" applyNumberFormat="1" applyFont="1" applyFill="1" applyAlignment="1">
      <alignment horizontal="center" vertical="center" wrapText="1"/>
    </xf>
    <xf numFmtId="0" fontId="2" fillId="9" borderId="0" xfId="0" applyNumberFormat="1" applyFont="1" applyFill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 wrapText="1"/>
    </xf>
    <xf numFmtId="166" fontId="2" fillId="9" borderId="0" xfId="0" applyNumberFormat="1" applyFont="1" applyFill="1" applyAlignment="1">
      <alignment horizontal="center" vertical="center" wrapText="1"/>
    </xf>
    <xf numFmtId="167" fontId="2" fillId="9" borderId="0" xfId="0" applyNumberFormat="1" applyFont="1" applyFill="1" applyAlignment="1">
      <alignment horizontal="center" vertical="center" wrapText="1"/>
    </xf>
    <xf numFmtId="0" fontId="2" fillId="11" borderId="0" xfId="0" applyNumberFormat="1" applyFont="1" applyFill="1" applyAlignment="1">
      <alignment horizontal="center" vertical="center" wrapText="1"/>
    </xf>
    <xf numFmtId="0" fontId="2" fillId="10" borderId="0" xfId="0" applyNumberFormat="1" applyFont="1" applyFill="1" applyAlignment="1">
      <alignment wrapText="1"/>
    </xf>
    <xf numFmtId="164" fontId="0" fillId="0" borderId="0" xfId="0" applyNumberFormat="1" applyFont="1" applyFill="1"/>
    <xf numFmtId="164" fontId="0" fillId="0" borderId="0" xfId="0" applyNumberFormat="1" applyFont="1" applyFill="1" applyBorder="1"/>
    <xf numFmtId="0" fontId="2" fillId="12" borderId="0" xfId="0" applyNumberFormat="1" applyFont="1" applyFill="1" applyAlignment="1">
      <alignment horizontal="center" vertical="center" wrapText="1"/>
    </xf>
    <xf numFmtId="3" fontId="2" fillId="12" borderId="0" xfId="0" applyNumberFormat="1" applyFont="1" applyFill="1" applyAlignment="1">
      <alignment horizontal="center" vertical="center" wrapText="1"/>
    </xf>
    <xf numFmtId="164" fontId="2" fillId="12" borderId="0" xfId="0" applyNumberFormat="1" applyFont="1" applyFill="1" applyAlignment="1">
      <alignment horizontal="center" vertical="center" wrapText="1"/>
    </xf>
    <xf numFmtId="41" fontId="0" fillId="0" borderId="0" xfId="1" applyFont="1"/>
  </cellXfs>
  <cellStyles count="2">
    <cellStyle name="Comma [0]" xfId="1" xr:uid="{00000000-0005-0000-0000-000000000000}"/>
    <cellStyle name="Normal" xfId="0" builtinId="0"/>
  </cellStyles>
  <dxfs count="2">
    <dxf>
      <fill>
        <patternFill>
          <bgColor rgb="FFFECACA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Table" displayName="TargetsTable" ref="A1:E15">
  <tableColumns count="5">
    <tableColumn id="1" xr3:uid="{00000000-0010-0000-0000-000001000000}" name="KPI"/>
    <tableColumn id="2" xr3:uid="{00000000-0010-0000-0000-000002000000}" name="Target_Value"/>
    <tableColumn id="3" xr3:uid="{00000000-0010-0000-0000-000003000000}" name="Unit"/>
    <tableColumn id="4" xr3:uid="{00000000-0010-0000-0000-000004000000}" name="Threshold_Band"/>
    <tableColumn id="5" xr3:uid="{00000000-0010-0000-0000-000005000000}" name="Board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JAMappingTable" displayName="FJAMappingTable" ref="A1:E7">
  <tableColumns count="5">
    <tableColumn id="1" xr3:uid="{00000000-0010-0000-0100-000001000000}" name="Function_Group"/>
    <tableColumn id="2" xr3:uid="{00000000-0010-0000-0100-000002000000}" name="FJA_Category"/>
    <tableColumn id="3" xr3:uid="{00000000-0010-0000-0100-000003000000}" name="Value_Role"/>
    <tableColumn id="4" xr3:uid="{00000000-0010-0000-0100-000004000000}" name="Revenue_Impact"/>
    <tableColumn id="5" xr3:uid="{00000000-0010-0000-0100-000005000000}" name="Board_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epartmentTable" displayName="DimDepartmentTable" ref="A1:F8">
  <tableColumns count="6">
    <tableColumn id="1" xr3:uid="{00000000-0010-0000-0200-000001000000}" name="Dept_ID"/>
    <tableColumn id="2" xr3:uid="{00000000-0010-0000-0200-000002000000}" name="Dept_Name"/>
    <tableColumn id="3" xr3:uid="{00000000-0010-0000-0200-000003000000}" name="Function_Group"/>
    <tableColumn id="4" xr3:uid="{00000000-0010-0000-0200-000004000000}" name="Revenue_Driver_Flag"/>
    <tableColumn id="5" xr3:uid="{00000000-0010-0000-0200-000005000000}" name="FJA_Category_Overrid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EmployeeTable" displayName="DimEmployeeTable" ref="A1:I4">
  <tableColumns count="9">
    <tableColumn id="1" xr3:uid="{00000000-0010-0000-0300-000001000000}" name="Employee_ID"/>
    <tableColumn id="2" xr3:uid="{00000000-0010-0000-0300-000002000000}" name="Employee_Name"/>
    <tableColumn id="3" xr3:uid="{00000000-0010-0000-0300-000003000000}" name="Dept_ID"/>
    <tableColumn id="4" xr3:uid="{00000000-0010-0000-0300-000004000000}" name="Position"/>
    <tableColumn id="5" xr3:uid="{00000000-0010-0000-0300-000005000000}" name="Employment_Type"/>
    <tableColumn id="6" xr3:uid="{00000000-0010-0000-0300-000006000000}" name="Join_Date"/>
    <tableColumn id="7" xr3:uid="{00000000-0010-0000-0300-000007000000}" name="Exit_Date"/>
    <tableColumn id="8" xr3:uid="{00000000-0010-0000-0300-000008000000}" name="Critical_Role_Flag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enueYearTable" displayName="RevenueYearTable" ref="A1:G6">
  <tableColumns count="7">
    <tableColumn id="1" xr3:uid="{00000000-0010-0000-0400-000001000000}" name="Year"/>
    <tableColumn id="2" xr3:uid="{00000000-0010-0000-0400-000002000000}" name="Business_Line"/>
    <tableColumn id="3" xr3:uid="{00000000-0010-0000-0400-000003000000}" name="Revenue_Recognized"/>
    <tableColumn id="4" xr3:uid="{00000000-0010-0000-0400-000004000000}" name="COGS_Direct"/>
    <tableColumn id="5" xr3:uid="{00000000-0010-0000-0400-000005000000}" name="Gross_Profit"/>
    <tableColumn id="6" xr3:uid="{00000000-0010-0000-0400-000006000000}" name="Gross_Margin_Pct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enueByDeptTable" displayName="RevenueByDeptTable" ref="A1:F16">
  <tableColumns count="6">
    <tableColumn id="1" xr3:uid="{00000000-0010-0000-0500-000001000000}" name="Year"/>
    <tableColumn id="2" xr3:uid="{00000000-0010-0000-0500-000002000000}" name="Dept_ID"/>
    <tableColumn id="3" xr3:uid="{00000000-0010-0000-0500-000003000000}" name="Revenue_Recognized"/>
    <tableColumn id="4" xr3:uid="{00000000-0010-0000-0500-000004000000}" name="Direct_or_Allocated"/>
    <tableColumn id="5" xr3:uid="{00000000-0010-0000-0500-000005000000}" name="Allocation_Method"/>
    <tableColumn id="6" xr3:uid="{00000000-0010-0000-0500-000006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eadcountYearTable" displayName="HeadcountYearTable" ref="A1:G30">
  <tableColumns count="7">
    <tableColumn id="1" xr3:uid="{00000000-0010-0000-0600-000001000000}" name="Year"/>
    <tableColumn id="2" xr3:uid="{00000000-0010-0000-0600-000002000000}" name="Dept_ID"/>
    <tableColumn id="3" xr3:uid="{00000000-0010-0000-0600-000003000000}" name="Avg_Headcount"/>
    <tableColumn id="4" xr3:uid="{00000000-0010-0000-0600-000004000000}" name="Avg_FTE"/>
    <tableColumn id="5" xr3:uid="{00000000-0010-0000-0600-000005000000}" name="New_Hires"/>
    <tableColumn id="6" xr3:uid="{00000000-0010-0000-0600-000006000000}" name="Exits"/>
    <tableColumn id="7" xr3:uid="{00000000-0010-0000-06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yrollYearTable" displayName="PayrollYearTable" ref="A1:J31">
  <tableColumns count="10">
    <tableColumn id="1" xr3:uid="{00000000-0010-0000-0700-000001000000}" name="Year"/>
    <tableColumn id="2" xr3:uid="{00000000-0010-0000-0700-000002000000}" name="Dept_ID"/>
    <tableColumn id="3" xr3:uid="{00000000-0010-0000-0700-000003000000}" name="Payroll_Gross"/>
    <tableColumn id="4" xr3:uid="{00000000-0010-0000-0700-000004000000}" name="Overtime"/>
    <tableColumn id="5" xr3:uid="{00000000-0010-0000-0700-000005000000}" name="Bonus"/>
    <tableColumn id="6" xr3:uid="{00000000-0010-0000-0700-000006000000}" name="Benefits"/>
    <tableColumn id="7" xr3:uid="{00000000-0010-0000-0700-000007000000}" name="Employer_Tax"/>
    <tableColumn id="8" xr3:uid="{00000000-0010-0000-0700-000008000000}" name="Total_Manpower_Cost"/>
    <tableColumn id="9" xr3:uid="{00000000-0010-0000-0700-000009000000}" name="Payment_Typ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CMovementTable" displayName="HCMovementTable" ref="A1:G31">
  <tableColumns count="7">
    <tableColumn id="1" xr3:uid="{00000000-0010-0000-0800-000001000000}" name="Year"/>
    <tableColumn id="2" xr3:uid="{00000000-0010-0000-0800-000002000000}" name="Dept_ID"/>
    <tableColumn id="3" xr3:uid="{00000000-0010-0000-0800-000003000000}" name="Joiners"/>
    <tableColumn id="4" xr3:uid="{00000000-0010-0000-0800-000004000000}" name="Leavers"/>
    <tableColumn id="5" xr3:uid="{00000000-0010-0000-0800-000005000000}" name="Internal_Transfer_In"/>
    <tableColumn id="6" xr3:uid="{00000000-0010-0000-0800-000006000000}" name="Internal_Transfer_Out"/>
    <tableColumn id="7" xr3:uid="{00000000-0010-0000-0800-000007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jectMarginTable" displayName="ProjectMarginTable" ref="A1:J4">
  <tableColumns count="10">
    <tableColumn id="1" xr3:uid="{00000000-0010-0000-0900-000001000000}" name="Year"/>
    <tableColumn id="2" xr3:uid="{00000000-0010-0000-0900-000002000000}" name="Project_ID"/>
    <tableColumn id="3" xr3:uid="{00000000-0010-0000-0900-000003000000}" name="Customer"/>
    <tableColumn id="4" xr3:uid="{00000000-0010-0000-0900-000004000000}" name="Business_Line"/>
    <tableColumn id="5" xr3:uid="{00000000-0010-0000-0900-000005000000}" name="Revenue"/>
    <tableColumn id="6" xr3:uid="{00000000-0010-0000-0900-000006000000}" name="COGS"/>
    <tableColumn id="7" xr3:uid="{00000000-0010-0000-0900-000007000000}" name="Gross_Profit"/>
    <tableColumn id="8" xr3:uid="{00000000-0010-0000-0900-000008000000}" name="Gross_Margin_Pct"/>
    <tableColumn id="9" xr3:uid="{00000000-0010-0000-0900-000009000000}" name="Project_Status"/>
    <tableColumn id="10" xr3:uid="{00000000-0010-0000-09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pacityIndicatorTable" displayName="CapacityIndicatorTable" ref="A1:J21">
  <tableColumns count="10">
    <tableColumn id="1" xr3:uid="{00000000-0010-0000-0A00-000001000000}" name="Year"/>
    <tableColumn id="2" xr3:uid="{00000000-0010-0000-0A00-000002000000}" name="Dept_ID"/>
    <tableColumn id="3" xr3:uid="{00000000-0010-0000-0A00-000003000000}" name="Avg_Utilization_Pct"/>
    <tableColumn id="4" xr3:uid="{00000000-0010-0000-0A00-000004000000}" name="Overtime_Hours"/>
    <tableColumn id="5" xr3:uid="{00000000-0010-0000-0A00-000005000000}" name="Backlog_Count"/>
    <tableColumn id="6" xr3:uid="{00000000-0010-0000-0A00-000006000000}" name="SLA_Breach_Count"/>
    <tableColumn id="7" xr3:uid="{00000000-0010-0000-0A00-000007000000}" name="Incident_Count"/>
    <tableColumn id="8" xr3:uid="{00000000-0010-0000-0A00-000008000000}" name="Turnover_Count"/>
    <tableColumn id="9" xr3:uid="{00000000-0010-0000-0A00-000009000000}" name="Critical_Role_Dependency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CalendarTable" displayName="CalendarTable" ref="A1:G7">
  <tableColumns count="7">
    <tableColumn id="1" xr3:uid="{00000000-0010-0000-0B00-000001000000}" name="Year"/>
    <tableColumn id="2" xr3:uid="{00000000-0010-0000-0B00-000002000000}" name="Months_Closed"/>
    <tableColumn id="3" xr3:uid="{00000000-0010-0000-0B00-000003000000}" name="Period_Type"/>
    <tableColumn id="4" xr3:uid="{00000000-0010-0000-0B00-000004000000}" name="Period_Label"/>
    <tableColumn id="5" xr3:uid="{00000000-0010-0000-0B00-000005000000}" name="Annualization_Factor"/>
    <tableColumn id="6" xr3:uid="{00000000-0010-0000-0B00-000006000000}" name="Data_Confidence"/>
    <tableColumn id="7" xr3:uid="{00000000-0010-0000-0B00-000007000000}" name="Board_Us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MonthlyKpiTable" displayName="MonthlyKpiTable" ref="A1:R67">
  <tableColumns count="18">
    <tableColumn id="1" xr3:uid="{00000000-0010-0000-0C00-000001000000}" name="Year"/>
    <tableColumn id="2" xr3:uid="{00000000-0010-0000-0C00-000002000000}" name="Month_No"/>
    <tableColumn id="3" xr3:uid="{00000000-0010-0000-0C00-000003000000}" name="Month_Name"/>
    <tableColumn id="4" xr3:uid="{00000000-0010-0000-0C00-000004000000}" name="Business_Line"/>
    <tableColumn id="5" xr3:uid="{00000000-0010-0000-0C00-000005000000}" name="Dept_ID"/>
    <tableColumn id="6" xr3:uid="{00000000-0010-0000-0C00-000006000000}" name="Revenue_Recognized"/>
    <tableColumn id="7" xr3:uid="{00000000-0010-0000-0C00-000007000000}" name="COGS_Direct"/>
    <tableColumn id="8" xr3:uid="{00000000-0010-0000-0C00-000008000000}" name="Avg_Headcount"/>
    <tableColumn id="9" xr3:uid="{00000000-0010-0000-0C00-000009000000}" name="New_Hires"/>
    <tableColumn id="10" xr3:uid="{00000000-0010-0000-0C00-00000A000000}" name="Exits"/>
    <tableColumn id="11" xr3:uid="{00000000-0010-0000-0C00-00000B000000}" name="Payroll_Gross"/>
    <tableColumn id="12" xr3:uid="{00000000-0010-0000-0C00-00000C000000}" name="Overtime"/>
    <tableColumn id="13" xr3:uid="{00000000-0010-0000-0C00-00000D000000}" name="Bonus"/>
    <tableColumn id="14" xr3:uid="{00000000-0010-0000-0C00-00000E000000}" name="Benefits"/>
    <tableColumn id="15" xr3:uid="{00000000-0010-0000-0C00-00000F000000}" name="Employer_Tax"/>
    <tableColumn id="16" xr3:uid="{00000000-0010-0000-0C00-000010000000}" name="Total_Manpower_Cost"/>
    <tableColumn id="17" xr3:uid="{00000000-0010-0000-0C00-000011000000}" name="Payment_Type"/>
    <tableColumn id="18" xr3:uid="{00000000-0010-0000-0C00-000012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D000000}" name="ProjectProductivityTable" displayName="ProjectProductivityTable" ref="A1:R17">
  <tableColumns count="18">
    <tableColumn id="1" xr3:uid="{00000000-0010-0000-0D00-000001000000}" name="Year"/>
    <tableColumn id="2" xr3:uid="{00000000-0010-0000-0D00-000002000000}" name="Project_ID"/>
    <tableColumn id="3" xr3:uid="{00000000-0010-0000-0D00-000003000000}" name="Project_Name"/>
    <tableColumn id="4" xr3:uid="{00000000-0010-0000-0D00-000004000000}" name="Project_Category"/>
    <tableColumn id="5" xr3:uid="{00000000-0010-0000-0D00-000005000000}" name="Business_Line"/>
    <tableColumn id="6" xr3:uid="{00000000-0010-0000-0D00-000006000000}" name="Revenue"/>
    <tableColumn id="7" xr3:uid="{00000000-0010-0000-0D00-000007000000}" name="COGS"/>
    <tableColumn id="8" xr3:uid="{00000000-0010-0000-0D00-000008000000}" name="Manpower_Cost"/>
    <tableColumn id="9" xr3:uid="{00000000-0010-0000-0D00-000009000000}" name="Project_Hours"/>
    <tableColumn id="10" xr3:uid="{00000000-0010-0000-0D00-00000A000000}" name="HC_Allocated"/>
    <tableColumn id="11" xr3:uid="{00000000-0010-0000-0D00-00000B000000}" name="Sites_or_Tickets"/>
    <tableColumn id="12" xr3:uid="{00000000-0010-0000-0D00-00000C000000}" name="SLA_Breach_Count"/>
    <tableColumn id="13" xr3:uid="{00000000-0010-0000-0D00-00000D000000}" name="Gross_Profit"/>
    <tableColumn id="14" xr3:uid="{00000000-0010-0000-0D00-00000E000000}" name="Gross_Margin_Pct"/>
    <tableColumn id="15" xr3:uid="{00000000-0010-0000-0D00-00000F000000}" name="MCR_Pct"/>
    <tableColumn id="16" xr3:uid="{00000000-0010-0000-0D00-000010000000}" name="Revenue_per_HC"/>
    <tableColumn id="17" xr3:uid="{00000000-0010-0000-0D00-000011000000}" name="Revenue_per_Hour"/>
    <tableColumn id="18" xr3:uid="{00000000-0010-0000-0D00-000012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defaultRowHeight="14.25"/>
  <cols>
    <col min="1" max="1" width="120" customWidth="1"/>
  </cols>
  <sheetData>
    <row r="1" spans="1:1" ht="27.95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2" t="s">
        <v>10</v>
      </c>
    </row>
    <row r="15" spans="1:1">
      <c r="A15" s="2" t="s">
        <v>11</v>
      </c>
    </row>
    <row r="16" spans="1:1">
      <c r="A16" s="2"/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 ht="15">
      <c r="A21" s="13" t="s">
        <v>16</v>
      </c>
    </row>
    <row r="22" spans="1:1">
      <c r="A22" s="2" t="s">
        <v>17</v>
      </c>
    </row>
    <row r="23" spans="1:1">
      <c r="A23" s="2" t="s">
        <v>18</v>
      </c>
    </row>
    <row r="24" spans="1:1" ht="15">
      <c r="A24" s="14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25"/>
  <cols>
    <col min="1" max="1" width="30" customWidth="1"/>
    <col min="2" max="2" width="24" customWidth="1"/>
    <col min="3" max="3" width="70" customWidth="1"/>
  </cols>
  <sheetData>
    <row r="1" spans="1:3" ht="15">
      <c r="A1" s="3" t="s">
        <v>25</v>
      </c>
      <c r="B1" s="3" t="s">
        <v>26</v>
      </c>
      <c r="C1" s="3" t="s">
        <v>27</v>
      </c>
    </row>
    <row r="2" spans="1:3">
      <c r="A2" s="2" t="s">
        <v>28</v>
      </c>
      <c r="B2" s="2" t="s">
        <v>29</v>
      </c>
      <c r="C2" s="2" t="s">
        <v>30</v>
      </c>
    </row>
    <row r="3" spans="1:3">
      <c r="A3" s="2" t="s">
        <v>31</v>
      </c>
      <c r="B3" s="2" t="s">
        <v>32</v>
      </c>
      <c r="C3" s="2" t="s">
        <v>33</v>
      </c>
    </row>
    <row r="4" spans="1:3">
      <c r="A4" s="2" t="s">
        <v>34</v>
      </c>
      <c r="B4" s="2">
        <v>2021</v>
      </c>
      <c r="C4" s="2" t="s">
        <v>35</v>
      </c>
    </row>
    <row r="5" spans="1:3">
      <c r="A5" s="2" t="s">
        <v>36</v>
      </c>
      <c r="B5" s="2">
        <v>2026</v>
      </c>
      <c r="C5" s="2" t="s">
        <v>37</v>
      </c>
    </row>
    <row r="6" spans="1:3">
      <c r="A6" s="2" t="s">
        <v>38</v>
      </c>
      <c r="B6" s="2" t="s">
        <v>39</v>
      </c>
      <c r="C6" s="2" t="s">
        <v>40</v>
      </c>
    </row>
    <row r="7" spans="1:3">
      <c r="A7" s="2" t="s">
        <v>41</v>
      </c>
      <c r="B7" s="2" t="s">
        <v>42</v>
      </c>
      <c r="C7" s="2" t="s">
        <v>43</v>
      </c>
    </row>
    <row r="8" spans="1:3">
      <c r="A8" s="2" t="s">
        <v>44</v>
      </c>
      <c r="B8" s="4">
        <v>0.25</v>
      </c>
      <c r="C8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A25" sqref="A25"/>
    </sheetView>
  </sheetViews>
  <sheetFormatPr defaultRowHeight="14.25"/>
  <cols>
    <col min="1" max="1" width="38" customWidth="1"/>
    <col min="2" max="2" width="16" customWidth="1"/>
    <col min="3" max="3" width="10" customWidth="1"/>
    <col min="4" max="4" width="28" customWidth="1"/>
    <col min="5" max="5" width="65" customWidth="1"/>
    <col min="7" max="7" width="34" customWidth="1"/>
    <col min="8" max="8" width="16" customWidth="1"/>
    <col min="9" max="9" width="56" customWidth="1"/>
  </cols>
  <sheetData>
    <row r="1" spans="1:9" ht="1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G1" s="27" t="s">
        <v>237</v>
      </c>
      <c r="H1" s="27" t="s">
        <v>26</v>
      </c>
      <c r="I1" s="27" t="s">
        <v>129</v>
      </c>
    </row>
    <row r="2" spans="1:9">
      <c r="A2" s="2" t="s">
        <v>51</v>
      </c>
      <c r="B2" s="4">
        <v>0.2</v>
      </c>
      <c r="C2" s="2" t="s">
        <v>52</v>
      </c>
      <c r="D2" s="2" t="s">
        <v>53</v>
      </c>
      <c r="E2" s="2" t="s">
        <v>54</v>
      </c>
      <c r="G2" s="20" t="s">
        <v>78</v>
      </c>
      <c r="H2" s="29">
        <v>0.3</v>
      </c>
      <c r="I2" s="20" t="s">
        <v>238</v>
      </c>
    </row>
    <row r="3" spans="1:9">
      <c r="A3" s="2" t="s">
        <v>55</v>
      </c>
      <c r="B3" s="4">
        <v>0.15</v>
      </c>
      <c r="C3" s="2" t="s">
        <v>52</v>
      </c>
      <c r="D3" s="2" t="s">
        <v>56</v>
      </c>
      <c r="E3" s="2" t="s">
        <v>57</v>
      </c>
      <c r="G3" s="20" t="s">
        <v>44</v>
      </c>
      <c r="H3" s="29">
        <v>0.2</v>
      </c>
      <c r="I3" s="20" t="s">
        <v>239</v>
      </c>
    </row>
    <row r="4" spans="1:9">
      <c r="A4" s="2" t="s">
        <v>58</v>
      </c>
      <c r="B4" s="4">
        <v>0.1</v>
      </c>
      <c r="C4" s="2" t="s">
        <v>52</v>
      </c>
      <c r="D4" s="2" t="s">
        <v>59</v>
      </c>
      <c r="E4" s="2" t="s">
        <v>60</v>
      </c>
      <c r="G4" s="20" t="s">
        <v>83</v>
      </c>
      <c r="H4" s="29">
        <v>0.15</v>
      </c>
      <c r="I4" s="20" t="s">
        <v>240</v>
      </c>
    </row>
    <row r="5" spans="1:9">
      <c r="A5" s="2" t="s">
        <v>61</v>
      </c>
      <c r="B5" s="4">
        <v>0.05</v>
      </c>
      <c r="C5" s="2" t="s">
        <v>52</v>
      </c>
      <c r="D5" s="2" t="s">
        <v>62</v>
      </c>
      <c r="E5" s="2" t="s">
        <v>63</v>
      </c>
      <c r="G5" s="20" t="s">
        <v>86</v>
      </c>
      <c r="H5" s="29">
        <v>0.1</v>
      </c>
      <c r="I5" s="20" t="s">
        <v>241</v>
      </c>
    </row>
    <row r="6" spans="1:9">
      <c r="A6" s="2" t="s">
        <v>64</v>
      </c>
      <c r="B6" s="4">
        <v>0.05</v>
      </c>
      <c r="C6" s="2" t="s">
        <v>52</v>
      </c>
      <c r="D6" s="2" t="s">
        <v>65</v>
      </c>
      <c r="E6" s="2" t="s">
        <v>66</v>
      </c>
      <c r="G6" s="20" t="s">
        <v>67</v>
      </c>
      <c r="H6" s="29">
        <v>7.0000000000000007E-2</v>
      </c>
      <c r="I6" s="20" t="s">
        <v>242</v>
      </c>
    </row>
    <row r="7" spans="1:9">
      <c r="A7" s="2" t="s">
        <v>67</v>
      </c>
      <c r="B7" s="4">
        <v>7.0000000000000007E-2</v>
      </c>
      <c r="C7" s="2" t="s">
        <v>52</v>
      </c>
      <c r="D7" s="2" t="s">
        <v>65</v>
      </c>
      <c r="E7" s="2" t="s">
        <v>68</v>
      </c>
      <c r="G7" s="20" t="s">
        <v>69</v>
      </c>
      <c r="H7" s="29">
        <v>0.09</v>
      </c>
      <c r="I7" s="20" t="s">
        <v>243</v>
      </c>
    </row>
    <row r="8" spans="1:9">
      <c r="A8" s="2" t="s">
        <v>69</v>
      </c>
      <c r="B8" s="4">
        <v>0.09</v>
      </c>
      <c r="C8" s="2" t="s">
        <v>52</v>
      </c>
      <c r="D8" s="2" t="s">
        <v>70</v>
      </c>
      <c r="E8" s="2" t="s">
        <v>71</v>
      </c>
      <c r="G8" s="20" t="s">
        <v>72</v>
      </c>
      <c r="H8" s="29">
        <v>0.14000000000000001</v>
      </c>
      <c r="I8" s="20" t="s">
        <v>244</v>
      </c>
    </row>
    <row r="9" spans="1:9">
      <c r="A9" s="2" t="s">
        <v>72</v>
      </c>
      <c r="B9" s="4">
        <v>0.14000000000000001</v>
      </c>
      <c r="C9" s="2" t="s">
        <v>52</v>
      </c>
      <c r="D9" s="2" t="s">
        <v>73</v>
      </c>
      <c r="E9" s="2" t="s">
        <v>74</v>
      </c>
      <c r="H9" s="30"/>
    </row>
    <row r="10" spans="1:9">
      <c r="A10" s="2" t="s">
        <v>75</v>
      </c>
      <c r="B10" s="4">
        <v>0.14000000000000001</v>
      </c>
      <c r="C10" s="2" t="s">
        <v>52</v>
      </c>
      <c r="D10" s="2" t="s">
        <v>76</v>
      </c>
      <c r="E10" s="2" t="s">
        <v>77</v>
      </c>
      <c r="H10" s="30"/>
    </row>
    <row r="11" spans="1:9">
      <c r="A11" s="2" t="s">
        <v>78</v>
      </c>
      <c r="B11" s="4">
        <v>0.35</v>
      </c>
      <c r="C11" s="2" t="s">
        <v>52</v>
      </c>
      <c r="D11" s="2" t="s">
        <v>79</v>
      </c>
      <c r="E11" s="2" t="s">
        <v>80</v>
      </c>
      <c r="H11" s="30"/>
    </row>
    <row r="12" spans="1:9">
      <c r="A12" s="2" t="s">
        <v>44</v>
      </c>
      <c r="B12" s="4">
        <v>0.25</v>
      </c>
      <c r="C12" s="2" t="s">
        <v>52</v>
      </c>
      <c r="D12" s="2" t="s">
        <v>81</v>
      </c>
      <c r="E12" s="2" t="s">
        <v>82</v>
      </c>
      <c r="H12" s="30"/>
    </row>
    <row r="13" spans="1:9">
      <c r="A13" s="2" t="s">
        <v>83</v>
      </c>
      <c r="B13" s="4">
        <v>0.15</v>
      </c>
      <c r="C13" s="2" t="s">
        <v>52</v>
      </c>
      <c r="D13" s="2" t="s">
        <v>84</v>
      </c>
      <c r="E13" s="2" t="s">
        <v>85</v>
      </c>
      <c r="H13" s="30"/>
    </row>
    <row r="14" spans="1:9">
      <c r="A14" s="2" t="s">
        <v>86</v>
      </c>
      <c r="B14" s="4">
        <v>0.1</v>
      </c>
      <c r="C14" s="2" t="s">
        <v>52</v>
      </c>
      <c r="D14" s="2" t="s">
        <v>87</v>
      </c>
      <c r="E14" s="2" t="s">
        <v>88</v>
      </c>
      <c r="H14" s="30"/>
    </row>
    <row r="15" spans="1:9">
      <c r="A15" s="2" t="s">
        <v>89</v>
      </c>
      <c r="B15" s="4">
        <v>0.1</v>
      </c>
      <c r="C15" s="2" t="s">
        <v>52</v>
      </c>
      <c r="D15" s="2" t="s">
        <v>90</v>
      </c>
      <c r="E15" s="2" t="s">
        <v>91</v>
      </c>
      <c r="H15" s="30"/>
    </row>
    <row r="16" spans="1:9">
      <c r="H16" s="30"/>
    </row>
    <row r="17" spans="8:8">
      <c r="H17" s="30"/>
    </row>
    <row r="18" spans="8:8">
      <c r="H18" s="30"/>
    </row>
    <row r="19" spans="8:8">
      <c r="H19" s="30"/>
    </row>
    <row r="20" spans="8:8">
      <c r="H20" s="3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25"/>
  <cols>
    <col min="1" max="1" width="24" customWidth="1"/>
    <col min="2" max="2" width="28" customWidth="1"/>
    <col min="3" max="3" width="34" customWidth="1"/>
    <col min="4" max="4" width="18" customWidth="1"/>
    <col min="5" max="5" width="70" customWidth="1"/>
  </cols>
  <sheetData>
    <row r="1" spans="1:5" ht="15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</row>
    <row r="2" spans="1:5" ht="28.5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</row>
    <row r="3" spans="1:5" ht="28.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</row>
    <row r="4" spans="1:5" ht="28.5">
      <c r="A4" s="2" t="s">
        <v>107</v>
      </c>
      <c r="B4" s="2" t="s">
        <v>103</v>
      </c>
      <c r="C4" s="2" t="s">
        <v>108</v>
      </c>
      <c r="D4" s="2" t="s">
        <v>105</v>
      </c>
      <c r="E4" s="2" t="s">
        <v>109</v>
      </c>
    </row>
    <row r="5" spans="1:5" ht="28.5">
      <c r="A5" s="2" t="s">
        <v>110</v>
      </c>
      <c r="B5" s="2" t="s">
        <v>111</v>
      </c>
      <c r="C5" s="2" t="s">
        <v>112</v>
      </c>
      <c r="D5" s="2" t="s">
        <v>113</v>
      </c>
      <c r="E5" s="2" t="s">
        <v>114</v>
      </c>
    </row>
    <row r="6" spans="1:5" ht="28.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</row>
    <row r="7" spans="1:5" ht="28.5">
      <c r="A7" s="2" t="s">
        <v>120</v>
      </c>
      <c r="B7" s="2" t="s">
        <v>121</v>
      </c>
      <c r="C7" s="2" t="s">
        <v>122</v>
      </c>
      <c r="D7" s="2" t="s">
        <v>123</v>
      </c>
      <c r="E7" s="2" t="s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4.25"/>
  <cols>
    <col min="1" max="5" width="22" customWidth="1"/>
    <col min="6" max="6" width="38" customWidth="1"/>
  </cols>
  <sheetData>
    <row r="1" spans="1:6" ht="30">
      <c r="A1" s="3" t="s">
        <v>125</v>
      </c>
      <c r="B1" s="3" t="s">
        <v>126</v>
      </c>
      <c r="C1" s="3" t="s">
        <v>92</v>
      </c>
      <c r="D1" s="3" t="s">
        <v>127</v>
      </c>
      <c r="E1" s="3" t="s">
        <v>128</v>
      </c>
      <c r="F1" s="3" t="s">
        <v>129</v>
      </c>
    </row>
    <row r="2" spans="1:6">
      <c r="A2" s="2" t="s">
        <v>130</v>
      </c>
      <c r="B2" s="2" t="s">
        <v>97</v>
      </c>
      <c r="C2" s="2" t="s">
        <v>97</v>
      </c>
      <c r="D2" s="2" t="s">
        <v>131</v>
      </c>
      <c r="E2" s="2" t="s">
        <v>98</v>
      </c>
      <c r="F2" s="2" t="s">
        <v>132</v>
      </c>
    </row>
    <row r="3" spans="1:6">
      <c r="A3" s="2" t="s">
        <v>133</v>
      </c>
      <c r="B3" s="2" t="s">
        <v>134</v>
      </c>
      <c r="C3" s="2" t="s">
        <v>102</v>
      </c>
      <c r="D3" s="2" t="s">
        <v>131</v>
      </c>
      <c r="E3" s="2" t="s">
        <v>103</v>
      </c>
      <c r="F3" s="2" t="s">
        <v>135</v>
      </c>
    </row>
    <row r="4" spans="1:6">
      <c r="A4" s="2" t="s">
        <v>136</v>
      </c>
      <c r="B4" s="2" t="s">
        <v>137</v>
      </c>
      <c r="C4" s="2" t="s">
        <v>110</v>
      </c>
      <c r="D4" s="2" t="s">
        <v>138</v>
      </c>
      <c r="E4" s="2" t="s">
        <v>111</v>
      </c>
      <c r="F4" s="2" t="s">
        <v>139</v>
      </c>
    </row>
    <row r="5" spans="1:6">
      <c r="A5" s="2" t="s">
        <v>140</v>
      </c>
      <c r="B5" s="2" t="s">
        <v>141</v>
      </c>
      <c r="C5" s="2" t="s">
        <v>110</v>
      </c>
      <c r="D5" s="2" t="s">
        <v>138</v>
      </c>
      <c r="E5" s="2" t="s">
        <v>111</v>
      </c>
      <c r="F5" s="2" t="s">
        <v>142</v>
      </c>
    </row>
    <row r="6" spans="1:6">
      <c r="A6" s="2" t="s">
        <v>143</v>
      </c>
      <c r="B6" s="2" t="s">
        <v>144</v>
      </c>
      <c r="C6" s="2" t="s">
        <v>107</v>
      </c>
      <c r="D6" s="2" t="s">
        <v>131</v>
      </c>
      <c r="E6" s="2" t="s">
        <v>103</v>
      </c>
      <c r="F6" s="2" t="s">
        <v>145</v>
      </c>
    </row>
    <row r="7" spans="1:6">
      <c r="A7" s="2" t="s">
        <v>146</v>
      </c>
      <c r="B7" s="2" t="s">
        <v>147</v>
      </c>
      <c r="C7" s="2" t="s">
        <v>110</v>
      </c>
      <c r="D7" s="2" t="s">
        <v>138</v>
      </c>
      <c r="E7" s="2" t="s">
        <v>111</v>
      </c>
      <c r="F7" s="2" t="s">
        <v>148</v>
      </c>
    </row>
    <row r="8" spans="1:6" ht="28.5">
      <c r="A8" s="2" t="s">
        <v>149</v>
      </c>
      <c r="B8" s="2" t="s">
        <v>115</v>
      </c>
      <c r="C8" s="2" t="s">
        <v>115</v>
      </c>
      <c r="D8" s="2" t="s">
        <v>138</v>
      </c>
      <c r="E8" s="2" t="s">
        <v>116</v>
      </c>
      <c r="F8" s="2" t="s">
        <v>150</v>
      </c>
    </row>
  </sheetData>
  <dataValidations count="3">
    <dataValidation type="list" sqref="C2:C200" xr:uid="{00000000-0002-0000-0400-000000000000}">
      <formula1>"Sales,Operations/Project,Engineering,Support,Management"</formula1>
    </dataValidation>
    <dataValidation type="list" sqref="D2:D200" xr:uid="{00000000-0002-0000-0400-000001000000}">
      <formula1>"Y,N"</formula1>
    </dataValidation>
    <dataValidation type="list" sqref="E2:E200" xr:uid="{00000000-0002-0000-0400-000002000000}">
      <formula1>",Revenue Generator,Revenue Enabler,Support Function,Governance / Management,Unmapped"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4.25"/>
  <cols>
    <col min="1" max="1" width="20" customWidth="1"/>
    <col min="2" max="2" width="26" customWidth="1"/>
    <col min="3" max="3" width="20" customWidth="1"/>
    <col min="4" max="4" width="26" customWidth="1"/>
    <col min="5" max="9" width="20" customWidth="1"/>
  </cols>
  <sheetData>
    <row r="1" spans="1:9" ht="15">
      <c r="A1" s="3" t="s">
        <v>151</v>
      </c>
      <c r="B1" s="3" t="s">
        <v>152</v>
      </c>
      <c r="C1" s="3" t="s">
        <v>125</v>
      </c>
      <c r="D1" s="3" t="s">
        <v>153</v>
      </c>
      <c r="E1" s="3" t="s">
        <v>154</v>
      </c>
      <c r="F1" s="5" t="s">
        <v>155</v>
      </c>
      <c r="G1" s="5" t="s">
        <v>156</v>
      </c>
      <c r="H1" s="3" t="s">
        <v>157</v>
      </c>
      <c r="I1" s="3" t="s">
        <v>129</v>
      </c>
    </row>
    <row r="2" spans="1:9">
      <c r="A2" s="2" t="s">
        <v>158</v>
      </c>
      <c r="B2" s="2" t="s">
        <v>159</v>
      </c>
      <c r="C2" s="2" t="s">
        <v>130</v>
      </c>
      <c r="D2" s="2" t="s">
        <v>160</v>
      </c>
      <c r="E2" s="2" t="s">
        <v>161</v>
      </c>
      <c r="F2" s="2" t="s">
        <v>162</v>
      </c>
      <c r="G2" s="2"/>
      <c r="H2" s="2" t="s">
        <v>131</v>
      </c>
      <c r="I2" s="2" t="s">
        <v>163</v>
      </c>
    </row>
    <row r="3" spans="1:9">
      <c r="A3" s="2" t="s">
        <v>164</v>
      </c>
      <c r="B3" s="2" t="s">
        <v>165</v>
      </c>
      <c r="C3" s="2" t="s">
        <v>143</v>
      </c>
      <c r="D3" s="2" t="s">
        <v>166</v>
      </c>
      <c r="E3" s="2" t="s">
        <v>161</v>
      </c>
      <c r="F3" s="2" t="s">
        <v>162</v>
      </c>
      <c r="G3" s="2"/>
      <c r="H3" s="2" t="s">
        <v>131</v>
      </c>
      <c r="I3" s="2" t="s">
        <v>163</v>
      </c>
    </row>
    <row r="4" spans="1:9">
      <c r="A4" s="2" t="s">
        <v>167</v>
      </c>
      <c r="B4" s="2" t="s">
        <v>168</v>
      </c>
      <c r="C4" s="2" t="s">
        <v>133</v>
      </c>
      <c r="D4" s="2" t="s">
        <v>169</v>
      </c>
      <c r="E4" s="2" t="s">
        <v>170</v>
      </c>
      <c r="F4" s="2" t="s">
        <v>171</v>
      </c>
      <c r="G4" s="2"/>
      <c r="H4" s="2" t="s">
        <v>138</v>
      </c>
      <c r="I4" s="2" t="s">
        <v>163</v>
      </c>
    </row>
  </sheetData>
  <dataValidations count="2">
    <dataValidation type="list" sqref="E2:E500" xr:uid="{00000000-0002-0000-0500-000000000000}">
      <formula1>"Permanent,Contract,Freelance,Outsource,Intern"</formula1>
    </dataValidation>
    <dataValidation type="list" sqref="H2:H500" xr:uid="{00000000-0002-0000-0500-000001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selection activeCell="E7" sqref="E7"/>
    </sheetView>
  </sheetViews>
  <sheetFormatPr defaultRowHeight="14.25"/>
  <cols>
    <col min="1" max="6" width="22" customWidth="1"/>
    <col min="7" max="7" width="34" customWidth="1"/>
  </cols>
  <sheetData>
    <row r="1" spans="1:7" ht="15">
      <c r="A1" s="9" t="s">
        <v>172</v>
      </c>
      <c r="B1" s="9" t="s">
        <v>173</v>
      </c>
      <c r="C1" s="10" t="s">
        <v>174</v>
      </c>
      <c r="D1" s="10" t="s">
        <v>175</v>
      </c>
      <c r="E1" s="10" t="s">
        <v>176</v>
      </c>
      <c r="F1" s="11" t="s">
        <v>177</v>
      </c>
      <c r="G1" s="9" t="s">
        <v>129</v>
      </c>
    </row>
    <row r="2" spans="1:7">
      <c r="A2" s="12">
        <v>2021</v>
      </c>
      <c r="B2" s="12" t="s">
        <v>178</v>
      </c>
      <c r="C2" s="15">
        <v>45048932718</v>
      </c>
      <c r="D2" s="15">
        <v>23425445013</v>
      </c>
      <c r="E2" s="15">
        <f t="shared" ref="E2:E7" si="0">C2-D2</f>
        <v>21623487705</v>
      </c>
      <c r="F2" s="12">
        <f t="shared" ref="F2:F7" si="1">IF(C2&gt;0,E2/C2,"")</f>
        <v>0.48000000000799131</v>
      </c>
      <c r="G2" s="12" t="s">
        <v>179</v>
      </c>
    </row>
    <row r="3" spans="1:7">
      <c r="A3" s="12">
        <v>2022</v>
      </c>
      <c r="B3" s="12" t="s">
        <v>178</v>
      </c>
      <c r="C3" s="15">
        <v>51100000000</v>
      </c>
      <c r="D3" s="15">
        <v>27000000000</v>
      </c>
      <c r="E3" s="15">
        <f t="shared" si="0"/>
        <v>24100000000</v>
      </c>
      <c r="F3" s="12">
        <f t="shared" si="1"/>
        <v>0.47162426614481406</v>
      </c>
      <c r="G3" s="12" t="s">
        <v>179</v>
      </c>
    </row>
    <row r="4" spans="1:7">
      <c r="A4" s="12">
        <v>2023</v>
      </c>
      <c r="B4" s="12" t="s">
        <v>178</v>
      </c>
      <c r="C4" s="15">
        <v>58750000000</v>
      </c>
      <c r="D4" s="15">
        <v>32500000000</v>
      </c>
      <c r="E4" s="15">
        <f t="shared" si="0"/>
        <v>26250000000</v>
      </c>
      <c r="F4" s="12">
        <f t="shared" si="1"/>
        <v>0.44680851063829785</v>
      </c>
      <c r="G4" s="12" t="s">
        <v>179</v>
      </c>
    </row>
    <row r="5" spans="1:7">
      <c r="A5" s="12">
        <v>2024</v>
      </c>
      <c r="B5" s="12" t="s">
        <v>178</v>
      </c>
      <c r="C5" s="15">
        <v>62700000000</v>
      </c>
      <c r="D5" s="15">
        <v>35000000000</v>
      </c>
      <c r="E5" s="15">
        <f t="shared" si="0"/>
        <v>27700000000</v>
      </c>
      <c r="F5" s="12">
        <f t="shared" si="1"/>
        <v>0.44178628389154706</v>
      </c>
      <c r="G5" s="12" t="s">
        <v>179</v>
      </c>
    </row>
    <row r="6" spans="1:7">
      <c r="A6" s="12">
        <v>2025</v>
      </c>
      <c r="B6" s="12" t="s">
        <v>178</v>
      </c>
      <c r="C6" s="15">
        <v>89722817239.730011</v>
      </c>
      <c r="D6" s="15">
        <v>66171731483.926315</v>
      </c>
      <c r="E6" s="15">
        <f t="shared" si="0"/>
        <v>23551085755.803696</v>
      </c>
      <c r="F6" s="12">
        <f t="shared" si="1"/>
        <v>0.26248714073341733</v>
      </c>
      <c r="G6" s="12" t="s">
        <v>179</v>
      </c>
    </row>
    <row r="7" spans="1:7">
      <c r="A7" s="12">
        <v>2026</v>
      </c>
      <c r="B7" s="12" t="s">
        <v>178</v>
      </c>
      <c r="C7" s="15">
        <v>23175802919</v>
      </c>
      <c r="D7" s="34">
        <v>20193774374</v>
      </c>
      <c r="E7" s="15">
        <f t="shared" si="0"/>
        <v>2982028545</v>
      </c>
      <c r="F7" s="12">
        <f t="shared" si="1"/>
        <v>0.12866991298736286</v>
      </c>
      <c r="G7" s="12" t="s">
        <v>180</v>
      </c>
    </row>
    <row r="13" spans="1:7">
      <c r="D13" s="16"/>
    </row>
    <row r="18" spans="4:4">
      <c r="D18" s="34"/>
    </row>
    <row r="19" spans="4:4">
      <c r="D19" s="34"/>
    </row>
    <row r="20" spans="4:4">
      <c r="D20" s="34"/>
    </row>
    <row r="22" spans="4:4">
      <c r="D22" s="1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topLeftCell="A2" workbookViewId="0">
      <selection activeCell="A40" sqref="A40"/>
    </sheetView>
  </sheetViews>
  <sheetFormatPr defaultRowHeight="14.25"/>
  <cols>
    <col min="1" max="4" width="22" customWidth="1"/>
    <col min="5" max="6" width="32" customWidth="1"/>
  </cols>
  <sheetData>
    <row r="1" spans="1:6" ht="15">
      <c r="A1" s="9" t="s">
        <v>172</v>
      </c>
      <c r="B1" s="9" t="s">
        <v>125</v>
      </c>
      <c r="C1" s="10" t="s">
        <v>174</v>
      </c>
      <c r="D1" s="9" t="s">
        <v>181</v>
      </c>
      <c r="E1" s="9" t="s">
        <v>182</v>
      </c>
      <c r="F1" s="9" t="s">
        <v>129</v>
      </c>
    </row>
    <row r="2" spans="1:6">
      <c r="A2" s="12">
        <v>2021</v>
      </c>
      <c r="B2" s="12" t="s">
        <v>130</v>
      </c>
      <c r="C2" s="12">
        <v>18019573087</v>
      </c>
      <c r="D2" s="12" t="s">
        <v>183</v>
      </c>
      <c r="E2" s="12" t="s">
        <v>184</v>
      </c>
      <c r="F2" s="12" t="s">
        <v>185</v>
      </c>
    </row>
    <row r="3" spans="1:6">
      <c r="A3" s="12">
        <v>2021</v>
      </c>
      <c r="B3" s="12" t="s">
        <v>133</v>
      </c>
      <c r="C3" s="12">
        <v>15767126451</v>
      </c>
      <c r="D3" s="12" t="s">
        <v>183</v>
      </c>
      <c r="E3" s="12" t="s">
        <v>186</v>
      </c>
      <c r="F3" s="12" t="s">
        <v>185</v>
      </c>
    </row>
    <row r="4" spans="1:6">
      <c r="A4" s="12">
        <v>2021</v>
      </c>
      <c r="B4" s="12" t="s">
        <v>143</v>
      </c>
      <c r="C4" s="12">
        <v>11262233180</v>
      </c>
      <c r="D4" s="12" t="s">
        <v>183</v>
      </c>
      <c r="E4" s="12" t="s">
        <v>187</v>
      </c>
      <c r="F4" s="12" t="s">
        <v>185</v>
      </c>
    </row>
    <row r="5" spans="1:6">
      <c r="A5" s="12">
        <v>2022</v>
      </c>
      <c r="B5" s="12" t="s">
        <v>130</v>
      </c>
      <c r="C5" s="12">
        <v>20440000000</v>
      </c>
      <c r="D5" s="12" t="s">
        <v>183</v>
      </c>
      <c r="E5" s="12" t="s">
        <v>184</v>
      </c>
      <c r="F5" s="12" t="s">
        <v>185</v>
      </c>
    </row>
    <row r="6" spans="1:6">
      <c r="A6" s="12">
        <v>2022</v>
      </c>
      <c r="B6" s="12" t="s">
        <v>133</v>
      </c>
      <c r="C6" s="12">
        <v>17885000000</v>
      </c>
      <c r="D6" s="12" t="s">
        <v>183</v>
      </c>
      <c r="E6" s="12" t="s">
        <v>186</v>
      </c>
      <c r="F6" s="12" t="s">
        <v>185</v>
      </c>
    </row>
    <row r="7" spans="1:6">
      <c r="A7" s="12">
        <v>2022</v>
      </c>
      <c r="B7" s="12" t="s">
        <v>143</v>
      </c>
      <c r="C7" s="12">
        <v>12775000000</v>
      </c>
      <c r="D7" s="12" t="s">
        <v>183</v>
      </c>
      <c r="E7" s="12" t="s">
        <v>187</v>
      </c>
      <c r="F7" s="12" t="s">
        <v>185</v>
      </c>
    </row>
    <row r="8" spans="1:6">
      <c r="A8" s="12">
        <v>2023</v>
      </c>
      <c r="B8" s="12" t="s">
        <v>130</v>
      </c>
      <c r="C8" s="12">
        <v>23500000000</v>
      </c>
      <c r="D8" s="12" t="s">
        <v>183</v>
      </c>
      <c r="E8" s="12" t="s">
        <v>184</v>
      </c>
      <c r="F8" s="12" t="s">
        <v>185</v>
      </c>
    </row>
    <row r="9" spans="1:6">
      <c r="A9" s="12">
        <v>2023</v>
      </c>
      <c r="B9" s="12" t="s">
        <v>133</v>
      </c>
      <c r="C9" s="12">
        <v>20562500000</v>
      </c>
      <c r="D9" s="12" t="s">
        <v>183</v>
      </c>
      <c r="E9" s="12" t="s">
        <v>186</v>
      </c>
      <c r="F9" s="12" t="s">
        <v>185</v>
      </c>
    </row>
    <row r="10" spans="1:6">
      <c r="A10" s="12">
        <v>2023</v>
      </c>
      <c r="B10" s="12" t="s">
        <v>143</v>
      </c>
      <c r="C10" s="12">
        <v>14687500000</v>
      </c>
      <c r="D10" s="12" t="s">
        <v>183</v>
      </c>
      <c r="E10" s="12" t="s">
        <v>187</v>
      </c>
      <c r="F10" s="12" t="s">
        <v>185</v>
      </c>
    </row>
    <row r="11" spans="1:6">
      <c r="A11" s="12">
        <v>2024</v>
      </c>
      <c r="B11" s="12" t="s">
        <v>130</v>
      </c>
      <c r="C11" s="12">
        <v>25080000000</v>
      </c>
      <c r="D11" s="12" t="s">
        <v>183</v>
      </c>
      <c r="E11" s="12" t="s">
        <v>184</v>
      </c>
      <c r="F11" s="12" t="s">
        <v>185</v>
      </c>
    </row>
    <row r="12" spans="1:6">
      <c r="A12" s="12">
        <v>2024</v>
      </c>
      <c r="B12" s="12" t="s">
        <v>133</v>
      </c>
      <c r="C12" s="12">
        <v>21945000000</v>
      </c>
      <c r="D12" s="12" t="s">
        <v>183</v>
      </c>
      <c r="E12" s="12" t="s">
        <v>186</v>
      </c>
      <c r="F12" s="12" t="s">
        <v>185</v>
      </c>
    </row>
    <row r="13" spans="1:6">
      <c r="A13" s="12">
        <v>2024</v>
      </c>
      <c r="B13" s="12" t="s">
        <v>143</v>
      </c>
      <c r="C13" s="12">
        <v>15675000000</v>
      </c>
      <c r="D13" s="12" t="s">
        <v>183</v>
      </c>
      <c r="E13" s="12" t="s">
        <v>187</v>
      </c>
      <c r="F13" s="12" t="s">
        <v>185</v>
      </c>
    </row>
    <row r="14" spans="1:6">
      <c r="A14" s="12">
        <v>2025</v>
      </c>
      <c r="B14" s="12" t="s">
        <v>130</v>
      </c>
      <c r="C14" s="12">
        <v>35882249494</v>
      </c>
      <c r="D14" s="12" t="s">
        <v>183</v>
      </c>
      <c r="E14" s="12" t="s">
        <v>184</v>
      </c>
      <c r="F14" s="12" t="s">
        <v>185</v>
      </c>
    </row>
    <row r="15" spans="1:6">
      <c r="A15" s="12">
        <v>2025</v>
      </c>
      <c r="B15" s="12" t="s">
        <v>133</v>
      </c>
      <c r="C15" s="12">
        <v>31396968308</v>
      </c>
      <c r="D15" s="12" t="s">
        <v>183</v>
      </c>
      <c r="E15" s="12" t="s">
        <v>186</v>
      </c>
      <c r="F15" s="12" t="s">
        <v>185</v>
      </c>
    </row>
    <row r="16" spans="1:6">
      <c r="A16" s="12">
        <v>2025</v>
      </c>
      <c r="B16" s="12" t="s">
        <v>143</v>
      </c>
      <c r="C16" s="12">
        <v>22426405934</v>
      </c>
      <c r="D16" s="12" t="s">
        <v>183</v>
      </c>
      <c r="E16" s="12" t="s">
        <v>187</v>
      </c>
      <c r="F16" s="12" t="s">
        <v>185</v>
      </c>
    </row>
    <row r="17" spans="1:6">
      <c r="A17" s="12">
        <v>2026</v>
      </c>
      <c r="B17" s="12" t="s">
        <v>130</v>
      </c>
      <c r="C17" s="12">
        <v>39400000000</v>
      </c>
      <c r="D17" s="12" t="s">
        <v>183</v>
      </c>
      <c r="E17" s="12" t="s">
        <v>184</v>
      </c>
      <c r="F17" s="12" t="s">
        <v>188</v>
      </c>
    </row>
    <row r="18" spans="1:6">
      <c r="A18" s="12">
        <v>2026</v>
      </c>
      <c r="B18" s="12" t="s">
        <v>133</v>
      </c>
      <c r="C18" s="12">
        <v>34475000000</v>
      </c>
      <c r="D18" s="12" t="s">
        <v>183</v>
      </c>
      <c r="E18" s="12" t="s">
        <v>186</v>
      </c>
      <c r="F18" s="12" t="s">
        <v>188</v>
      </c>
    </row>
    <row r="19" spans="1:6">
      <c r="A19" s="12">
        <v>2026</v>
      </c>
      <c r="B19" s="12" t="s">
        <v>143</v>
      </c>
      <c r="C19" s="12">
        <v>24625000000</v>
      </c>
      <c r="D19" s="12" t="s">
        <v>183</v>
      </c>
      <c r="E19" s="12" t="s">
        <v>187</v>
      </c>
      <c r="F19" s="12" t="s">
        <v>188</v>
      </c>
    </row>
  </sheetData>
  <dataValidations count="1">
    <dataValidation type="list" sqref="D2:D500" xr:uid="{00000000-0002-0000-0700-000000000000}">
      <formula1>"Direct,Allocated"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>
      <selection activeCell="C33" sqref="C33"/>
    </sheetView>
  </sheetViews>
  <sheetFormatPr defaultRowHeight="14.25"/>
  <cols>
    <col min="1" max="6" width="18" customWidth="1"/>
    <col min="7" max="7" width="30" customWidth="1"/>
  </cols>
  <sheetData>
    <row r="1" spans="1:7" ht="15">
      <c r="A1" s="9" t="s">
        <v>172</v>
      </c>
      <c r="B1" s="9" t="s">
        <v>125</v>
      </c>
      <c r="C1" s="9" t="s">
        <v>189</v>
      </c>
      <c r="D1" s="9" t="s">
        <v>190</v>
      </c>
      <c r="E1" s="9" t="s">
        <v>191</v>
      </c>
      <c r="F1" s="9" t="s">
        <v>192</v>
      </c>
      <c r="G1" s="9" t="s">
        <v>129</v>
      </c>
    </row>
    <row r="2" spans="1:7">
      <c r="A2" s="12">
        <v>2021</v>
      </c>
      <c r="B2" s="12" t="s">
        <v>130</v>
      </c>
      <c r="C2" s="12">
        <v>8</v>
      </c>
      <c r="D2" s="12">
        <v>8</v>
      </c>
      <c r="E2" s="12">
        <v>0</v>
      </c>
      <c r="F2" s="12">
        <v>0</v>
      </c>
      <c r="G2" s="12" t="s">
        <v>185</v>
      </c>
    </row>
    <row r="3" spans="1:7">
      <c r="A3" s="12">
        <v>2021</v>
      </c>
      <c r="B3" s="12" t="s">
        <v>133</v>
      </c>
      <c r="C3" s="12">
        <v>25</v>
      </c>
      <c r="D3" s="12">
        <v>25</v>
      </c>
      <c r="E3" s="12">
        <v>0</v>
      </c>
      <c r="F3" s="12">
        <v>0</v>
      </c>
      <c r="G3" s="12" t="s">
        <v>185</v>
      </c>
    </row>
    <row r="4" spans="1:7">
      <c r="A4" s="12">
        <v>2021</v>
      </c>
      <c r="B4" s="12" t="s">
        <v>136</v>
      </c>
      <c r="C4" s="12">
        <v>7</v>
      </c>
      <c r="D4" s="12">
        <v>7</v>
      </c>
      <c r="E4" s="12">
        <v>0</v>
      </c>
      <c r="F4" s="12">
        <v>0</v>
      </c>
      <c r="G4" s="12" t="s">
        <v>185</v>
      </c>
    </row>
    <row r="5" spans="1:7">
      <c r="A5" s="12">
        <v>2021</v>
      </c>
      <c r="B5" s="12" t="s">
        <v>140</v>
      </c>
      <c r="C5" s="12">
        <v>5</v>
      </c>
      <c r="D5" s="12">
        <v>5</v>
      </c>
      <c r="E5" s="12">
        <v>0</v>
      </c>
      <c r="F5" s="12">
        <v>0</v>
      </c>
      <c r="G5" s="12" t="s">
        <v>185</v>
      </c>
    </row>
    <row r="6" spans="1:7">
      <c r="A6" s="12">
        <v>2021</v>
      </c>
      <c r="B6" s="12" t="s">
        <v>143</v>
      </c>
      <c r="C6" s="12">
        <v>14</v>
      </c>
      <c r="D6" s="12">
        <v>14</v>
      </c>
      <c r="E6" s="12">
        <v>0</v>
      </c>
      <c r="F6" s="12">
        <v>0</v>
      </c>
      <c r="G6" s="12" t="s">
        <v>185</v>
      </c>
    </row>
    <row r="7" spans="1:7">
      <c r="A7" s="12">
        <v>2021</v>
      </c>
      <c r="B7" s="12" t="s">
        <v>146</v>
      </c>
      <c r="C7" s="12">
        <v>5</v>
      </c>
      <c r="D7" s="12">
        <v>5</v>
      </c>
      <c r="E7" s="12">
        <v>0</v>
      </c>
      <c r="F7" s="12">
        <v>0</v>
      </c>
      <c r="G7" s="12" t="s">
        <v>185</v>
      </c>
    </row>
    <row r="8" spans="1:7">
      <c r="A8" s="12">
        <v>2022</v>
      </c>
      <c r="B8" s="12" t="s">
        <v>130</v>
      </c>
      <c r="C8" s="12">
        <v>8</v>
      </c>
      <c r="D8" s="12">
        <v>8</v>
      </c>
      <c r="E8" s="12">
        <v>0</v>
      </c>
      <c r="F8" s="12">
        <v>0</v>
      </c>
      <c r="G8" s="12" t="s">
        <v>185</v>
      </c>
    </row>
    <row r="9" spans="1:7">
      <c r="A9" s="12">
        <v>2022</v>
      </c>
      <c r="B9" s="12" t="s">
        <v>133</v>
      </c>
      <c r="C9" s="12">
        <v>27</v>
      </c>
      <c r="D9" s="12">
        <v>27</v>
      </c>
      <c r="E9" s="12">
        <v>0</v>
      </c>
      <c r="F9" s="12">
        <v>0</v>
      </c>
      <c r="G9" s="12" t="s">
        <v>185</v>
      </c>
    </row>
    <row r="10" spans="1:7">
      <c r="A10" s="12">
        <v>2022</v>
      </c>
      <c r="B10" s="12" t="s">
        <v>136</v>
      </c>
      <c r="C10" s="12">
        <v>7</v>
      </c>
      <c r="D10" s="12">
        <v>7</v>
      </c>
      <c r="E10" s="12">
        <v>0</v>
      </c>
      <c r="F10" s="12">
        <v>0</v>
      </c>
      <c r="G10" s="12" t="s">
        <v>185</v>
      </c>
    </row>
    <row r="11" spans="1:7">
      <c r="A11" s="12">
        <v>2022</v>
      </c>
      <c r="B11" s="12" t="s">
        <v>140</v>
      </c>
      <c r="C11" s="12">
        <v>5</v>
      </c>
      <c r="D11" s="12">
        <v>5</v>
      </c>
      <c r="E11" s="12">
        <v>0</v>
      </c>
      <c r="F11" s="12">
        <v>0</v>
      </c>
      <c r="G11" s="12" t="s">
        <v>185</v>
      </c>
    </row>
    <row r="12" spans="1:7">
      <c r="A12" s="12">
        <v>2022</v>
      </c>
      <c r="B12" s="12" t="s">
        <v>143</v>
      </c>
      <c r="C12" s="12">
        <v>14</v>
      </c>
      <c r="D12" s="12">
        <v>14</v>
      </c>
      <c r="E12" s="12">
        <v>0</v>
      </c>
      <c r="F12" s="12">
        <v>0</v>
      </c>
      <c r="G12" s="12" t="s">
        <v>185</v>
      </c>
    </row>
    <row r="13" spans="1:7">
      <c r="A13" s="12">
        <v>2022</v>
      </c>
      <c r="B13" s="12" t="s">
        <v>146</v>
      </c>
      <c r="C13" s="12">
        <v>5</v>
      </c>
      <c r="D13" s="12">
        <v>5</v>
      </c>
      <c r="E13" s="12">
        <v>0</v>
      </c>
      <c r="F13" s="12">
        <v>0</v>
      </c>
      <c r="G13" s="12" t="s">
        <v>185</v>
      </c>
    </row>
    <row r="14" spans="1:7">
      <c r="A14" s="12">
        <v>2023</v>
      </c>
      <c r="B14" s="12" t="s">
        <v>130</v>
      </c>
      <c r="C14" s="12">
        <v>8</v>
      </c>
      <c r="D14" s="12">
        <v>8</v>
      </c>
      <c r="E14" s="12">
        <v>0</v>
      </c>
      <c r="F14" s="12">
        <v>0</v>
      </c>
      <c r="G14" s="12" t="s">
        <v>185</v>
      </c>
    </row>
    <row r="15" spans="1:7">
      <c r="A15" s="12">
        <v>2023</v>
      </c>
      <c r="B15" s="12" t="s">
        <v>133</v>
      </c>
      <c r="C15" s="12">
        <v>30</v>
      </c>
      <c r="D15" s="12">
        <v>30</v>
      </c>
      <c r="E15" s="12">
        <v>0</v>
      </c>
      <c r="F15" s="12">
        <v>0</v>
      </c>
      <c r="G15" s="12" t="s">
        <v>185</v>
      </c>
    </row>
    <row r="16" spans="1:7">
      <c r="A16" s="12">
        <v>2023</v>
      </c>
      <c r="B16" s="12" t="s">
        <v>136</v>
      </c>
      <c r="C16" s="12">
        <v>8</v>
      </c>
      <c r="D16" s="12">
        <v>8</v>
      </c>
      <c r="E16" s="12">
        <v>0</v>
      </c>
      <c r="F16" s="12">
        <v>0</v>
      </c>
      <c r="G16" s="12" t="s">
        <v>185</v>
      </c>
    </row>
    <row r="17" spans="1:7">
      <c r="A17" s="12">
        <v>2023</v>
      </c>
      <c r="B17" s="12" t="s">
        <v>140</v>
      </c>
      <c r="C17" s="12">
        <v>5</v>
      </c>
      <c r="D17" s="12">
        <v>5</v>
      </c>
      <c r="E17" s="12">
        <v>0</v>
      </c>
      <c r="F17" s="12">
        <v>0</v>
      </c>
      <c r="G17" s="12" t="s">
        <v>185</v>
      </c>
    </row>
    <row r="18" spans="1:7">
      <c r="A18" s="12">
        <v>2023</v>
      </c>
      <c r="B18" s="12" t="s">
        <v>143</v>
      </c>
      <c r="C18" s="12">
        <v>15</v>
      </c>
      <c r="D18" s="12">
        <v>15</v>
      </c>
      <c r="E18" s="12">
        <v>0</v>
      </c>
      <c r="F18" s="12">
        <v>0</v>
      </c>
      <c r="G18" s="12" t="s">
        <v>185</v>
      </c>
    </row>
    <row r="19" spans="1:7">
      <c r="A19" s="12">
        <v>2023</v>
      </c>
      <c r="B19" s="12" t="s">
        <v>146</v>
      </c>
      <c r="C19" s="12">
        <v>5</v>
      </c>
      <c r="D19" s="12">
        <v>5</v>
      </c>
      <c r="E19" s="12">
        <v>0</v>
      </c>
      <c r="F19" s="12">
        <v>0</v>
      </c>
      <c r="G19" s="12" t="s">
        <v>185</v>
      </c>
    </row>
    <row r="20" spans="1:7">
      <c r="A20" s="12">
        <v>2024</v>
      </c>
      <c r="B20" s="12" t="s">
        <v>130</v>
      </c>
      <c r="C20" s="12">
        <v>9</v>
      </c>
      <c r="D20" s="12">
        <v>9</v>
      </c>
      <c r="E20" s="12">
        <v>0</v>
      </c>
      <c r="F20" s="12">
        <v>0</v>
      </c>
      <c r="G20" s="12" t="s">
        <v>185</v>
      </c>
    </row>
    <row r="21" spans="1:7">
      <c r="A21" s="12">
        <v>2024</v>
      </c>
      <c r="B21" s="12" t="s">
        <v>133</v>
      </c>
      <c r="C21" s="12">
        <v>37</v>
      </c>
      <c r="D21" s="12">
        <v>37</v>
      </c>
      <c r="E21" s="12">
        <v>0</v>
      </c>
      <c r="F21" s="12">
        <v>0</v>
      </c>
      <c r="G21" s="12" t="s">
        <v>185</v>
      </c>
    </row>
    <row r="22" spans="1:7">
      <c r="A22" s="12">
        <v>2024</v>
      </c>
      <c r="B22" s="12" t="s">
        <v>136</v>
      </c>
      <c r="C22" s="12">
        <v>13</v>
      </c>
      <c r="D22" s="12">
        <v>13</v>
      </c>
      <c r="E22" s="12">
        <v>0</v>
      </c>
      <c r="F22" s="12">
        <v>0</v>
      </c>
      <c r="G22" s="12" t="s">
        <v>185</v>
      </c>
    </row>
    <row r="23" spans="1:7">
      <c r="A23" s="12">
        <v>2024</v>
      </c>
      <c r="B23" s="12" t="s">
        <v>140</v>
      </c>
      <c r="C23" s="12">
        <v>7</v>
      </c>
      <c r="D23" s="12">
        <v>7</v>
      </c>
      <c r="E23" s="12">
        <v>0</v>
      </c>
      <c r="F23" s="12">
        <v>0</v>
      </c>
      <c r="G23" s="12" t="s">
        <v>185</v>
      </c>
    </row>
    <row r="24" spans="1:7">
      <c r="A24" s="12">
        <v>2024</v>
      </c>
      <c r="B24" s="12" t="s">
        <v>143</v>
      </c>
      <c r="C24" s="12">
        <v>17</v>
      </c>
      <c r="D24" s="12">
        <v>17</v>
      </c>
      <c r="E24" s="12">
        <v>0</v>
      </c>
      <c r="F24" s="12">
        <v>0</v>
      </c>
      <c r="G24" s="12" t="s">
        <v>185</v>
      </c>
    </row>
    <row r="25" spans="1:7">
      <c r="A25" s="12">
        <v>2024</v>
      </c>
      <c r="B25" s="12" t="s">
        <v>146</v>
      </c>
      <c r="C25" s="12">
        <v>5</v>
      </c>
      <c r="D25" s="12">
        <v>5</v>
      </c>
      <c r="E25" s="12">
        <v>0</v>
      </c>
      <c r="F25" s="12">
        <v>0</v>
      </c>
      <c r="G25" s="12" t="s">
        <v>185</v>
      </c>
    </row>
    <row r="26" spans="1:7">
      <c r="A26" s="12">
        <v>2025</v>
      </c>
      <c r="B26" s="12" t="s">
        <v>130</v>
      </c>
      <c r="C26" s="12">
        <v>9</v>
      </c>
      <c r="D26" s="12">
        <v>9</v>
      </c>
      <c r="E26" s="12">
        <v>0</v>
      </c>
      <c r="F26" s="12">
        <v>0</v>
      </c>
      <c r="G26" s="12" t="s">
        <v>185</v>
      </c>
    </row>
    <row r="27" spans="1:7">
      <c r="A27" s="12">
        <v>2025</v>
      </c>
      <c r="B27" s="12" t="s">
        <v>133</v>
      </c>
      <c r="C27" s="12">
        <v>29</v>
      </c>
      <c r="D27" s="12">
        <v>29</v>
      </c>
      <c r="E27" s="12">
        <v>1</v>
      </c>
      <c r="F27" s="12">
        <v>0</v>
      </c>
      <c r="G27" s="12" t="s">
        <v>185</v>
      </c>
    </row>
    <row r="28" spans="1:7">
      <c r="A28" s="12">
        <v>2025</v>
      </c>
      <c r="B28" s="12" t="s">
        <v>136</v>
      </c>
      <c r="C28" s="12">
        <v>9</v>
      </c>
      <c r="D28" s="12">
        <v>9</v>
      </c>
      <c r="E28" s="12">
        <v>0</v>
      </c>
      <c r="F28" s="12">
        <v>0</v>
      </c>
      <c r="G28" s="12" t="s">
        <v>185</v>
      </c>
    </row>
    <row r="29" spans="1:7">
      <c r="A29" s="12">
        <v>2025</v>
      </c>
      <c r="B29" s="12" t="s">
        <v>140</v>
      </c>
      <c r="C29" s="12">
        <v>6</v>
      </c>
      <c r="D29" s="12">
        <v>6</v>
      </c>
      <c r="E29" s="12">
        <v>0</v>
      </c>
      <c r="F29" s="12">
        <v>0</v>
      </c>
      <c r="G29" s="12" t="s">
        <v>185</v>
      </c>
    </row>
    <row r="30" spans="1:7">
      <c r="A30" s="12">
        <v>2025</v>
      </c>
      <c r="B30" s="12" t="s">
        <v>143</v>
      </c>
      <c r="C30" s="12">
        <v>9</v>
      </c>
      <c r="D30" s="12">
        <v>9</v>
      </c>
      <c r="E30" s="12">
        <v>1</v>
      </c>
      <c r="F30" s="12">
        <v>0</v>
      </c>
      <c r="G30" s="12" t="s">
        <v>185</v>
      </c>
    </row>
    <row r="31" spans="1:7">
      <c r="A31" s="12">
        <v>2026</v>
      </c>
      <c r="B31" s="12" t="s">
        <v>130</v>
      </c>
      <c r="C31" s="12">
        <v>10</v>
      </c>
      <c r="D31" s="12">
        <v>10</v>
      </c>
      <c r="E31" s="12">
        <v>1</v>
      </c>
      <c r="F31" s="12">
        <v>0</v>
      </c>
      <c r="G31" s="12" t="s">
        <v>188</v>
      </c>
    </row>
    <row r="32" spans="1:7">
      <c r="A32" s="12">
        <v>2026</v>
      </c>
      <c r="B32" s="12" t="s">
        <v>133</v>
      </c>
      <c r="C32" s="12">
        <v>36</v>
      </c>
      <c r="D32" s="12">
        <v>31</v>
      </c>
      <c r="E32" s="12">
        <v>3</v>
      </c>
      <c r="F32" s="12">
        <v>0</v>
      </c>
      <c r="G32" s="12" t="s">
        <v>188</v>
      </c>
    </row>
    <row r="33" spans="1:7">
      <c r="A33" s="12">
        <v>2026</v>
      </c>
      <c r="B33" s="12" t="s">
        <v>136</v>
      </c>
      <c r="C33" s="12">
        <v>9</v>
      </c>
      <c r="D33" s="12">
        <v>9</v>
      </c>
      <c r="E33" s="12">
        <v>0</v>
      </c>
      <c r="F33" s="12">
        <v>0</v>
      </c>
      <c r="G33" s="12" t="s">
        <v>188</v>
      </c>
    </row>
    <row r="34" spans="1:7">
      <c r="A34" s="12">
        <v>2026</v>
      </c>
      <c r="B34" s="12" t="s">
        <v>140</v>
      </c>
      <c r="C34" s="12">
        <v>6</v>
      </c>
      <c r="D34" s="12">
        <v>6</v>
      </c>
      <c r="E34" s="12">
        <v>0</v>
      </c>
      <c r="F34" s="12">
        <v>0</v>
      </c>
      <c r="G34" s="12" t="s">
        <v>188</v>
      </c>
    </row>
    <row r="35" spans="1:7">
      <c r="A35" s="12">
        <v>2026</v>
      </c>
      <c r="B35" s="12" t="s">
        <v>143</v>
      </c>
      <c r="C35" s="12">
        <v>9</v>
      </c>
      <c r="D35" s="12">
        <v>10</v>
      </c>
      <c r="E35" s="12">
        <v>1</v>
      </c>
      <c r="F35" s="12">
        <v>0</v>
      </c>
      <c r="G35" s="12" t="s">
        <v>188</v>
      </c>
    </row>
    <row r="36" spans="1:7">
      <c r="A36" s="12">
        <v>2026</v>
      </c>
      <c r="B36" s="12" t="s">
        <v>146</v>
      </c>
      <c r="C36" s="12">
        <v>6</v>
      </c>
      <c r="D36" s="12">
        <v>5</v>
      </c>
      <c r="E36" s="12">
        <v>0</v>
      </c>
      <c r="F36" s="12">
        <v>0</v>
      </c>
      <c r="G36" s="12" t="s">
        <v>188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tabSelected="1" workbookViewId="0">
      <selection activeCell="F28" sqref="F28"/>
    </sheetView>
  </sheetViews>
  <sheetFormatPr defaultRowHeight="14.25"/>
  <cols>
    <col min="1" max="9" width="18" customWidth="1"/>
    <col min="10" max="10" width="30" customWidth="1"/>
  </cols>
  <sheetData>
    <row r="1" spans="1:10" ht="30">
      <c r="A1" s="9" t="s">
        <v>172</v>
      </c>
      <c r="B1" s="9" t="s">
        <v>125</v>
      </c>
      <c r="C1" s="10" t="s">
        <v>193</v>
      </c>
      <c r="D1" s="10" t="s">
        <v>194</v>
      </c>
      <c r="E1" s="10" t="s">
        <v>195</v>
      </c>
      <c r="F1" s="10" t="s">
        <v>196</v>
      </c>
      <c r="G1" s="10" t="s">
        <v>197</v>
      </c>
      <c r="H1" s="10" t="s">
        <v>198</v>
      </c>
      <c r="I1" s="9" t="s">
        <v>199</v>
      </c>
      <c r="J1" s="9" t="s">
        <v>129</v>
      </c>
    </row>
    <row r="2" spans="1:10">
      <c r="A2" s="12">
        <v>2021</v>
      </c>
      <c r="B2" s="12" t="s">
        <v>130</v>
      </c>
      <c r="C2" s="12">
        <v>540023600</v>
      </c>
      <c r="D2" s="12">
        <v>26342615</v>
      </c>
      <c r="E2" s="12">
        <v>39513922</v>
      </c>
      <c r="F2" s="12">
        <v>32928268</v>
      </c>
      <c r="G2" s="12">
        <v>19756961</v>
      </c>
      <c r="H2" s="12">
        <v>658565366</v>
      </c>
      <c r="I2" s="12" t="s">
        <v>200</v>
      </c>
      <c r="J2" s="12" t="s">
        <v>185</v>
      </c>
    </row>
    <row r="3" spans="1:10">
      <c r="A3" s="12">
        <v>2021</v>
      </c>
      <c r="B3" s="12" t="s">
        <v>133</v>
      </c>
      <c r="C3" s="12">
        <v>1282480000</v>
      </c>
      <c r="D3" s="12">
        <v>62560000</v>
      </c>
      <c r="E3" s="12">
        <v>93840000</v>
      </c>
      <c r="F3" s="12">
        <v>78200000</v>
      </c>
      <c r="G3" s="12">
        <v>46920000</v>
      </c>
      <c r="H3" s="12">
        <v>1564000000</v>
      </c>
      <c r="I3" s="12" t="s">
        <v>200</v>
      </c>
      <c r="J3" s="12" t="s">
        <v>185</v>
      </c>
    </row>
    <row r="4" spans="1:10">
      <c r="A4" s="12">
        <v>2021</v>
      </c>
      <c r="B4" s="12" t="s">
        <v>136</v>
      </c>
      <c r="C4" s="12">
        <v>283884130</v>
      </c>
      <c r="D4" s="12">
        <v>13848006</v>
      </c>
      <c r="E4" s="12">
        <v>20772009</v>
      </c>
      <c r="F4" s="12">
        <v>17310008</v>
      </c>
      <c r="G4" s="12">
        <v>10386005</v>
      </c>
      <c r="H4" s="12">
        <v>346200158</v>
      </c>
      <c r="I4" s="12" t="s">
        <v>200</v>
      </c>
      <c r="J4" s="12" t="s">
        <v>185</v>
      </c>
    </row>
    <row r="5" spans="1:10">
      <c r="A5" s="12">
        <v>2021</v>
      </c>
      <c r="B5" s="12" t="s">
        <v>140</v>
      </c>
      <c r="C5" s="12">
        <v>228547260</v>
      </c>
      <c r="D5" s="12">
        <v>11148647</v>
      </c>
      <c r="E5" s="12">
        <v>16722970</v>
      </c>
      <c r="F5" s="12">
        <v>13935809</v>
      </c>
      <c r="G5" s="12">
        <v>8361485</v>
      </c>
      <c r="H5" s="12">
        <v>278716171</v>
      </c>
      <c r="I5" s="12" t="s">
        <v>200</v>
      </c>
      <c r="J5" s="12" t="s">
        <v>185</v>
      </c>
    </row>
    <row r="6" spans="1:10">
      <c r="A6" s="12">
        <v>2021</v>
      </c>
      <c r="B6" s="12" t="s">
        <v>143</v>
      </c>
      <c r="C6" s="12">
        <v>554135015</v>
      </c>
      <c r="D6" s="12">
        <v>27030976</v>
      </c>
      <c r="E6" s="12">
        <v>40546464</v>
      </c>
      <c r="F6" s="12">
        <v>33788720</v>
      </c>
      <c r="G6" s="12">
        <v>20273233</v>
      </c>
      <c r="H6" s="12">
        <v>675774408</v>
      </c>
      <c r="I6" s="12" t="s">
        <v>200</v>
      </c>
      <c r="J6" s="12" t="s">
        <v>185</v>
      </c>
    </row>
    <row r="7" spans="1:10">
      <c r="A7" s="12">
        <v>2021</v>
      </c>
      <c r="B7" s="12" t="s">
        <v>146</v>
      </c>
      <c r="C7" s="12">
        <v>308328772</v>
      </c>
      <c r="D7" s="12">
        <v>15040428</v>
      </c>
      <c r="E7" s="12">
        <v>22560642</v>
      </c>
      <c r="F7" s="12">
        <v>18800535</v>
      </c>
      <c r="G7" s="12">
        <v>11280321</v>
      </c>
      <c r="H7" s="12">
        <v>376010698</v>
      </c>
      <c r="I7" s="12" t="s">
        <v>200</v>
      </c>
      <c r="J7" s="12" t="s">
        <v>185</v>
      </c>
    </row>
    <row r="8" spans="1:10">
      <c r="A8" s="12">
        <v>2022</v>
      </c>
      <c r="B8" s="12" t="s">
        <v>130</v>
      </c>
      <c r="C8" s="12">
        <v>557633066</v>
      </c>
      <c r="D8" s="12">
        <v>27201613</v>
      </c>
      <c r="E8" s="12">
        <v>40802419</v>
      </c>
      <c r="F8" s="12">
        <v>34002016</v>
      </c>
      <c r="G8" s="12">
        <v>20401210</v>
      </c>
      <c r="H8" s="12">
        <v>680040324</v>
      </c>
      <c r="I8" s="12" t="s">
        <v>200</v>
      </c>
      <c r="J8" s="12" t="s">
        <v>185</v>
      </c>
    </row>
    <row r="9" spans="1:10">
      <c r="A9" s="12">
        <v>2022</v>
      </c>
      <c r="B9" s="12" t="s">
        <v>133</v>
      </c>
      <c r="C9" s="12">
        <v>1324300000</v>
      </c>
      <c r="D9" s="12">
        <v>64600000</v>
      </c>
      <c r="E9" s="12">
        <v>96900000</v>
      </c>
      <c r="F9" s="12">
        <v>80750000</v>
      </c>
      <c r="G9" s="12">
        <v>48450000</v>
      </c>
      <c r="H9" s="12">
        <v>1615000000</v>
      </c>
      <c r="I9" s="12" t="s">
        <v>200</v>
      </c>
      <c r="J9" s="12" t="s">
        <v>185</v>
      </c>
    </row>
    <row r="10" spans="1:10">
      <c r="A10" s="12">
        <v>2022</v>
      </c>
      <c r="B10" s="12" t="s">
        <v>136</v>
      </c>
      <c r="C10" s="12">
        <v>293141221</v>
      </c>
      <c r="D10" s="12">
        <v>14299572</v>
      </c>
      <c r="E10" s="12">
        <v>21449358</v>
      </c>
      <c r="F10" s="12">
        <v>17874465</v>
      </c>
      <c r="G10" s="12">
        <v>10724678</v>
      </c>
      <c r="H10" s="12">
        <v>357489294</v>
      </c>
      <c r="I10" s="12" t="s">
        <v>200</v>
      </c>
      <c r="J10" s="12" t="s">
        <v>185</v>
      </c>
    </row>
    <row r="11" spans="1:10">
      <c r="A11" s="12">
        <v>2022</v>
      </c>
      <c r="B11" s="12" t="s">
        <v>140</v>
      </c>
      <c r="C11" s="12">
        <v>235999888</v>
      </c>
      <c r="D11" s="12">
        <v>11512190</v>
      </c>
      <c r="E11" s="12">
        <v>17268285</v>
      </c>
      <c r="F11" s="12">
        <v>14390237</v>
      </c>
      <c r="G11" s="12">
        <v>8634142</v>
      </c>
      <c r="H11" s="12">
        <v>287804742</v>
      </c>
      <c r="I11" s="12" t="s">
        <v>200</v>
      </c>
      <c r="J11" s="12" t="s">
        <v>185</v>
      </c>
    </row>
    <row r="12" spans="1:10">
      <c r="A12" s="12">
        <v>2022</v>
      </c>
      <c r="B12" s="12" t="s">
        <v>143</v>
      </c>
      <c r="C12" s="12">
        <v>572204635</v>
      </c>
      <c r="D12" s="12">
        <v>27912421</v>
      </c>
      <c r="E12" s="12">
        <v>41868632</v>
      </c>
      <c r="F12" s="12">
        <v>34890526</v>
      </c>
      <c r="G12" s="12">
        <v>20934316</v>
      </c>
      <c r="H12" s="12">
        <v>697810530</v>
      </c>
      <c r="I12" s="12" t="s">
        <v>200</v>
      </c>
      <c r="J12" s="12" t="s">
        <v>185</v>
      </c>
    </row>
    <row r="13" spans="1:10">
      <c r="A13" s="12">
        <v>2022</v>
      </c>
      <c r="B13" s="12" t="s">
        <v>146</v>
      </c>
      <c r="C13" s="12">
        <v>318382971</v>
      </c>
      <c r="D13" s="12">
        <v>15530877</v>
      </c>
      <c r="E13" s="12">
        <v>23296315</v>
      </c>
      <c r="F13" s="12">
        <v>19413596</v>
      </c>
      <c r="G13" s="12">
        <v>11648157</v>
      </c>
      <c r="H13" s="12">
        <v>388271916</v>
      </c>
      <c r="I13" s="12" t="s">
        <v>200</v>
      </c>
      <c r="J13" s="12" t="s">
        <v>185</v>
      </c>
    </row>
    <row r="14" spans="1:10">
      <c r="A14" s="12">
        <v>2023</v>
      </c>
      <c r="B14" s="12" t="s">
        <v>130</v>
      </c>
      <c r="C14" s="12">
        <v>586982174</v>
      </c>
      <c r="D14" s="12">
        <v>28633277</v>
      </c>
      <c r="E14" s="12">
        <v>42949915</v>
      </c>
      <c r="F14" s="12">
        <v>35791596</v>
      </c>
      <c r="G14" s="12">
        <v>21474958</v>
      </c>
      <c r="H14" s="12">
        <v>715831920</v>
      </c>
      <c r="I14" s="12" t="s">
        <v>200</v>
      </c>
      <c r="J14" s="12" t="s">
        <v>185</v>
      </c>
    </row>
    <row r="15" spans="1:10">
      <c r="A15" s="12">
        <v>2023</v>
      </c>
      <c r="B15" s="12" t="s">
        <v>133</v>
      </c>
      <c r="C15" s="12">
        <v>1394000000</v>
      </c>
      <c r="D15" s="12">
        <v>68000000</v>
      </c>
      <c r="E15" s="12">
        <v>102000000</v>
      </c>
      <c r="F15" s="12">
        <v>85000000</v>
      </c>
      <c r="G15" s="12">
        <v>51000000</v>
      </c>
      <c r="H15" s="12">
        <v>1700000000</v>
      </c>
      <c r="I15" s="12" t="s">
        <v>200</v>
      </c>
      <c r="J15" s="12" t="s">
        <v>185</v>
      </c>
    </row>
    <row r="16" spans="1:10">
      <c r="A16" s="12">
        <v>2023</v>
      </c>
      <c r="B16" s="12" t="s">
        <v>136</v>
      </c>
      <c r="C16" s="12">
        <v>308569706</v>
      </c>
      <c r="D16" s="12">
        <v>15052181</v>
      </c>
      <c r="E16" s="12">
        <v>22578271</v>
      </c>
      <c r="F16" s="12">
        <v>18815226</v>
      </c>
      <c r="G16" s="12">
        <v>11289136</v>
      </c>
      <c r="H16" s="12">
        <v>376304520</v>
      </c>
      <c r="I16" s="12" t="s">
        <v>200</v>
      </c>
      <c r="J16" s="12" t="s">
        <v>185</v>
      </c>
    </row>
    <row r="17" spans="1:10">
      <c r="A17" s="12">
        <v>2023</v>
      </c>
      <c r="B17" s="12" t="s">
        <v>140</v>
      </c>
      <c r="C17" s="12">
        <v>248420935</v>
      </c>
      <c r="D17" s="12">
        <v>12118094</v>
      </c>
      <c r="E17" s="12">
        <v>18177142</v>
      </c>
      <c r="F17" s="12">
        <v>15147618</v>
      </c>
      <c r="G17" s="12">
        <v>9088571</v>
      </c>
      <c r="H17" s="12">
        <v>302952360</v>
      </c>
      <c r="I17" s="12" t="s">
        <v>200</v>
      </c>
      <c r="J17" s="12" t="s">
        <v>185</v>
      </c>
    </row>
    <row r="18" spans="1:10">
      <c r="A18" s="12">
        <v>2023</v>
      </c>
      <c r="B18" s="12" t="s">
        <v>143</v>
      </c>
      <c r="C18" s="12">
        <v>602320668</v>
      </c>
      <c r="D18" s="12">
        <v>29381496</v>
      </c>
      <c r="E18" s="12">
        <v>44072244</v>
      </c>
      <c r="F18" s="12">
        <v>36726870</v>
      </c>
      <c r="G18" s="12">
        <v>22036122</v>
      </c>
      <c r="H18" s="12">
        <v>734537400</v>
      </c>
      <c r="I18" s="12" t="s">
        <v>200</v>
      </c>
      <c r="J18" s="12" t="s">
        <v>185</v>
      </c>
    </row>
    <row r="19" spans="1:10">
      <c r="A19" s="12">
        <v>2023</v>
      </c>
      <c r="B19" s="12" t="s">
        <v>146</v>
      </c>
      <c r="C19" s="12">
        <v>335139970</v>
      </c>
      <c r="D19" s="12">
        <v>16348291</v>
      </c>
      <c r="E19" s="12">
        <v>24522437</v>
      </c>
      <c r="F19" s="12">
        <v>20435364</v>
      </c>
      <c r="G19" s="12">
        <v>12261218</v>
      </c>
      <c r="H19" s="12">
        <v>408707280</v>
      </c>
      <c r="I19" s="12" t="s">
        <v>200</v>
      </c>
      <c r="J19" s="12" t="s">
        <v>185</v>
      </c>
    </row>
    <row r="20" spans="1:10">
      <c r="A20" s="12">
        <v>2024</v>
      </c>
      <c r="B20" s="12" t="s">
        <v>130</v>
      </c>
      <c r="C20" s="12">
        <v>628070926</v>
      </c>
      <c r="D20" s="12">
        <v>30637606</v>
      </c>
      <c r="E20" s="12">
        <v>45956409</v>
      </c>
      <c r="F20" s="12">
        <v>38297008</v>
      </c>
      <c r="G20" s="12">
        <v>22978205</v>
      </c>
      <c r="H20" s="12">
        <v>765940154</v>
      </c>
      <c r="I20" s="12" t="s">
        <v>200</v>
      </c>
      <c r="J20" s="12" t="s">
        <v>185</v>
      </c>
    </row>
    <row r="21" spans="1:10">
      <c r="A21" s="12">
        <v>2024</v>
      </c>
      <c r="B21" s="12" t="s">
        <v>133</v>
      </c>
      <c r="C21" s="12">
        <v>1491580000</v>
      </c>
      <c r="D21" s="12">
        <v>72760000</v>
      </c>
      <c r="E21" s="12">
        <v>109140000</v>
      </c>
      <c r="F21" s="12">
        <v>90950000</v>
      </c>
      <c r="G21" s="12">
        <v>54570000</v>
      </c>
      <c r="H21" s="12">
        <v>1819000000</v>
      </c>
      <c r="I21" s="12" t="s">
        <v>200</v>
      </c>
      <c r="J21" s="12" t="s">
        <v>185</v>
      </c>
    </row>
    <row r="22" spans="1:10">
      <c r="A22" s="12">
        <v>2024</v>
      </c>
      <c r="B22" s="12" t="s">
        <v>136</v>
      </c>
      <c r="C22" s="12">
        <v>330169586</v>
      </c>
      <c r="D22" s="12">
        <v>16105833</v>
      </c>
      <c r="E22" s="12">
        <v>24158750</v>
      </c>
      <c r="F22" s="12">
        <v>20132292</v>
      </c>
      <c r="G22" s="12">
        <v>12079375</v>
      </c>
      <c r="H22" s="12">
        <v>402645836</v>
      </c>
      <c r="I22" s="12" t="s">
        <v>200</v>
      </c>
      <c r="J22" s="12" t="s">
        <v>185</v>
      </c>
    </row>
    <row r="23" spans="1:10">
      <c r="A23" s="12">
        <v>2024</v>
      </c>
      <c r="B23" s="12" t="s">
        <v>140</v>
      </c>
      <c r="C23" s="12">
        <v>265810400</v>
      </c>
      <c r="D23" s="12">
        <v>12966361</v>
      </c>
      <c r="E23" s="12">
        <v>19449542</v>
      </c>
      <c r="F23" s="12">
        <v>16207951</v>
      </c>
      <c r="G23" s="12">
        <v>9724771</v>
      </c>
      <c r="H23" s="12">
        <v>324159025</v>
      </c>
      <c r="I23" s="12" t="s">
        <v>200</v>
      </c>
      <c r="J23" s="12" t="s">
        <v>185</v>
      </c>
    </row>
    <row r="24" spans="1:10">
      <c r="A24" s="12">
        <v>2024</v>
      </c>
      <c r="B24" s="12" t="s">
        <v>143</v>
      </c>
      <c r="C24" s="12">
        <v>644483115</v>
      </c>
      <c r="D24" s="12">
        <v>31438201</v>
      </c>
      <c r="E24" s="12">
        <v>47157301</v>
      </c>
      <c r="F24" s="12">
        <v>39297751</v>
      </c>
      <c r="G24" s="12">
        <v>23578650</v>
      </c>
      <c r="H24" s="12">
        <v>785955018</v>
      </c>
      <c r="I24" s="12" t="s">
        <v>200</v>
      </c>
      <c r="J24" s="12" t="s">
        <v>185</v>
      </c>
    </row>
    <row r="25" spans="1:10">
      <c r="A25" s="12">
        <v>2024</v>
      </c>
      <c r="B25" s="12" t="s">
        <v>146</v>
      </c>
      <c r="C25" s="12">
        <v>358599768</v>
      </c>
      <c r="D25" s="12">
        <v>17492672</v>
      </c>
      <c r="E25" s="12">
        <v>26239007</v>
      </c>
      <c r="F25" s="12">
        <v>21865840</v>
      </c>
      <c r="G25" s="12">
        <v>13119503</v>
      </c>
      <c r="H25" s="12">
        <v>437316790</v>
      </c>
      <c r="I25" s="12" t="s">
        <v>200</v>
      </c>
      <c r="J25" s="12" t="s">
        <v>185</v>
      </c>
    </row>
    <row r="26" spans="1:10">
      <c r="A26" s="12">
        <v>2025</v>
      </c>
      <c r="B26" s="12" t="s">
        <v>130</v>
      </c>
      <c r="C26" s="12">
        <v>59652660</v>
      </c>
      <c r="D26" s="12"/>
      <c r="E26" s="12"/>
      <c r="F26" s="12"/>
      <c r="G26" s="12"/>
      <c r="H26" s="12">
        <v>715831920</v>
      </c>
      <c r="I26" s="12" t="s">
        <v>200</v>
      </c>
      <c r="J26" s="12" t="s">
        <v>185</v>
      </c>
    </row>
    <row r="27" spans="1:10">
      <c r="A27" s="12">
        <v>2025</v>
      </c>
      <c r="B27" s="12" t="s">
        <v>133</v>
      </c>
      <c r="C27" s="12">
        <v>176907850</v>
      </c>
      <c r="D27" s="12"/>
      <c r="E27" s="12"/>
      <c r="F27" s="12"/>
      <c r="G27" s="12"/>
      <c r="H27" s="12">
        <v>2122894200</v>
      </c>
      <c r="I27" s="12" t="s">
        <v>200</v>
      </c>
      <c r="J27" s="12" t="s">
        <v>185</v>
      </c>
    </row>
    <row r="28" spans="1:10">
      <c r="A28" s="12">
        <v>2025</v>
      </c>
      <c r="B28" s="12" t="s">
        <v>136</v>
      </c>
      <c r="C28" s="12">
        <v>31358710</v>
      </c>
      <c r="D28" s="12"/>
      <c r="E28" s="12"/>
      <c r="F28" s="12"/>
      <c r="G28" s="12"/>
      <c r="H28" s="12">
        <v>376304520</v>
      </c>
      <c r="I28" s="12" t="s">
        <v>200</v>
      </c>
      <c r="J28" s="12" t="s">
        <v>185</v>
      </c>
    </row>
    <row r="29" spans="1:10">
      <c r="A29" s="12">
        <v>2025</v>
      </c>
      <c r="B29" s="12" t="s">
        <v>140</v>
      </c>
      <c r="C29" s="12">
        <v>25246030</v>
      </c>
      <c r="D29" s="12"/>
      <c r="E29" s="12"/>
      <c r="F29" s="12"/>
      <c r="G29" s="12"/>
      <c r="H29" s="12">
        <v>302952360</v>
      </c>
      <c r="I29" s="12" t="s">
        <v>200</v>
      </c>
      <c r="J29" s="12" t="s">
        <v>185</v>
      </c>
    </row>
    <row r="30" spans="1:10">
      <c r="A30" s="12">
        <v>2025</v>
      </c>
      <c r="B30" s="12" t="s">
        <v>143</v>
      </c>
      <c r="C30" s="12">
        <v>61211450</v>
      </c>
      <c r="D30" s="12"/>
      <c r="E30" s="12"/>
      <c r="F30" s="12"/>
      <c r="G30" s="12"/>
      <c r="H30" s="12">
        <v>734537400</v>
      </c>
      <c r="I30" s="12" t="s">
        <v>200</v>
      </c>
      <c r="J30" s="12" t="s">
        <v>185</v>
      </c>
    </row>
    <row r="31" spans="1:10">
      <c r="A31" s="12">
        <v>2025</v>
      </c>
      <c r="B31" s="12" t="s">
        <v>146</v>
      </c>
      <c r="C31" s="12">
        <v>34058940</v>
      </c>
      <c r="D31" s="12"/>
      <c r="E31" s="12"/>
      <c r="F31" s="12"/>
      <c r="G31" s="12"/>
      <c r="H31" s="12">
        <v>408707280</v>
      </c>
      <c r="I31" s="12" t="s">
        <v>200</v>
      </c>
      <c r="J31" s="12" t="s">
        <v>185</v>
      </c>
    </row>
    <row r="32" spans="1:10">
      <c r="A32" s="12">
        <v>2026</v>
      </c>
      <c r="B32" s="12" t="s">
        <v>130</v>
      </c>
      <c r="C32" s="12">
        <v>54222260</v>
      </c>
      <c r="D32" s="12"/>
      <c r="E32" s="12"/>
      <c r="F32" s="12"/>
      <c r="G32" s="12"/>
      <c r="H32" s="12">
        <v>352734780</v>
      </c>
      <c r="I32" s="12" t="s">
        <v>200</v>
      </c>
      <c r="J32" s="12" t="s">
        <v>188</v>
      </c>
    </row>
    <row r="33" spans="1:10">
      <c r="A33" s="12">
        <v>2026</v>
      </c>
      <c r="B33" s="12" t="s">
        <v>133</v>
      </c>
      <c r="C33" s="12">
        <v>198966160</v>
      </c>
      <c r="D33" s="12"/>
      <c r="E33" s="12"/>
      <c r="F33" s="12"/>
      <c r="G33" s="12"/>
      <c r="H33" s="12">
        <v>1194902890</v>
      </c>
      <c r="I33" s="12" t="s">
        <v>200</v>
      </c>
      <c r="J33" s="12" t="s">
        <v>188</v>
      </c>
    </row>
    <row r="34" spans="1:10">
      <c r="A34" s="12">
        <v>2026</v>
      </c>
      <c r="B34" s="12" t="s">
        <v>136</v>
      </c>
      <c r="C34" s="12">
        <v>32141600</v>
      </c>
      <c r="D34" s="12"/>
      <c r="E34" s="12"/>
      <c r="F34" s="12"/>
      <c r="G34" s="12"/>
      <c r="H34" s="12">
        <v>202587370</v>
      </c>
      <c r="I34" s="12" t="s">
        <v>200</v>
      </c>
      <c r="J34" s="12" t="s">
        <v>188</v>
      </c>
    </row>
    <row r="35" spans="1:10">
      <c r="A35" s="12">
        <v>2026</v>
      </c>
      <c r="B35" s="12" t="s">
        <v>140</v>
      </c>
      <c r="C35" s="12">
        <v>22676030</v>
      </c>
      <c r="D35" s="12"/>
      <c r="E35" s="12"/>
      <c r="F35" s="12"/>
      <c r="G35" s="12"/>
      <c r="H35" s="12">
        <v>150564700</v>
      </c>
      <c r="I35" s="12" t="s">
        <v>200</v>
      </c>
      <c r="J35" s="12" t="s">
        <v>188</v>
      </c>
    </row>
    <row r="36" spans="1:10">
      <c r="A36" s="12">
        <v>2026</v>
      </c>
      <c r="B36" s="12" t="s">
        <v>143</v>
      </c>
      <c r="C36" s="12">
        <v>65096940</v>
      </c>
      <c r="D36" s="12"/>
      <c r="E36" s="12"/>
      <c r="F36" s="12"/>
      <c r="G36" s="12"/>
      <c r="H36" s="12">
        <v>406532680</v>
      </c>
      <c r="I36" s="12" t="s">
        <v>200</v>
      </c>
      <c r="J36" s="12" t="s">
        <v>188</v>
      </c>
    </row>
    <row r="37" spans="1:10">
      <c r="A37" s="12">
        <v>2026</v>
      </c>
      <c r="B37" s="12" t="s">
        <v>146</v>
      </c>
      <c r="C37" s="12">
        <v>34020440</v>
      </c>
      <c r="D37" s="12"/>
      <c r="E37" s="12"/>
      <c r="F37" s="12"/>
      <c r="G37" s="12"/>
      <c r="H37" s="12">
        <v>209196580</v>
      </c>
      <c r="I37" s="12" t="s">
        <v>200</v>
      </c>
      <c r="J37" s="12" t="s">
        <v>188</v>
      </c>
    </row>
  </sheetData>
  <dataValidations count="1">
    <dataValidation type="list" sqref="I2:I500" xr:uid="{00000000-0002-0000-0900-000000000000}">
      <formula1>"Payroll,Freelance,Contract,Outsource,Consultant"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topLeftCell="A10" workbookViewId="0">
      <selection activeCell="A32" sqref="A32"/>
    </sheetView>
  </sheetViews>
  <sheetFormatPr defaultRowHeight="14.25"/>
  <cols>
    <col min="1" max="7" width="20" customWidth="1"/>
  </cols>
  <sheetData>
    <row r="1" spans="1:7" ht="30">
      <c r="A1" s="9" t="s">
        <v>172</v>
      </c>
      <c r="B1" s="9" t="s">
        <v>125</v>
      </c>
      <c r="C1" s="9" t="s">
        <v>201</v>
      </c>
      <c r="D1" s="9" t="s">
        <v>202</v>
      </c>
      <c r="E1" s="9" t="s">
        <v>203</v>
      </c>
      <c r="F1" s="9" t="s">
        <v>204</v>
      </c>
      <c r="G1" s="9" t="s">
        <v>129</v>
      </c>
    </row>
    <row r="2" spans="1:7">
      <c r="A2" s="12">
        <v>2021</v>
      </c>
      <c r="B2" s="12" t="s">
        <v>130</v>
      </c>
      <c r="C2" s="12">
        <v>0</v>
      </c>
      <c r="D2" s="12">
        <v>0</v>
      </c>
      <c r="E2" s="12">
        <v>0</v>
      </c>
      <c r="F2" s="12">
        <v>0</v>
      </c>
      <c r="G2" s="12" t="s">
        <v>185</v>
      </c>
    </row>
    <row r="3" spans="1:7">
      <c r="A3" s="12">
        <v>2021</v>
      </c>
      <c r="B3" s="12" t="s">
        <v>133</v>
      </c>
      <c r="C3" s="12">
        <v>0</v>
      </c>
      <c r="D3" s="12">
        <v>0</v>
      </c>
      <c r="E3" s="12">
        <v>0</v>
      </c>
      <c r="F3" s="12">
        <v>0</v>
      </c>
      <c r="G3" s="12" t="s">
        <v>185</v>
      </c>
    </row>
    <row r="4" spans="1:7">
      <c r="A4" s="12">
        <v>2021</v>
      </c>
      <c r="B4" s="12" t="s">
        <v>136</v>
      </c>
      <c r="C4" s="12">
        <v>0</v>
      </c>
      <c r="D4" s="12">
        <v>0</v>
      </c>
      <c r="E4" s="12">
        <v>0</v>
      </c>
      <c r="F4" s="12">
        <v>0</v>
      </c>
      <c r="G4" s="12" t="s">
        <v>185</v>
      </c>
    </row>
    <row r="5" spans="1:7">
      <c r="A5" s="12">
        <v>2021</v>
      </c>
      <c r="B5" s="12" t="s">
        <v>140</v>
      </c>
      <c r="C5" s="12">
        <v>0</v>
      </c>
      <c r="D5" s="12">
        <v>0</v>
      </c>
      <c r="E5" s="12">
        <v>0</v>
      </c>
      <c r="F5" s="12">
        <v>0</v>
      </c>
      <c r="G5" s="12" t="s">
        <v>185</v>
      </c>
    </row>
    <row r="6" spans="1:7">
      <c r="A6" s="12">
        <v>2021</v>
      </c>
      <c r="B6" s="12" t="s">
        <v>143</v>
      </c>
      <c r="C6" s="12">
        <v>0</v>
      </c>
      <c r="D6" s="12">
        <v>0</v>
      </c>
      <c r="E6" s="12">
        <v>0</v>
      </c>
      <c r="F6" s="12">
        <v>0</v>
      </c>
      <c r="G6" s="12" t="s">
        <v>185</v>
      </c>
    </row>
    <row r="7" spans="1:7">
      <c r="A7" s="12">
        <v>2021</v>
      </c>
      <c r="B7" s="12" t="s">
        <v>146</v>
      </c>
      <c r="C7" s="12">
        <v>0</v>
      </c>
      <c r="D7" s="12">
        <v>0</v>
      </c>
      <c r="E7" s="12">
        <v>0</v>
      </c>
      <c r="F7" s="12">
        <v>0</v>
      </c>
      <c r="G7" s="12" t="s">
        <v>185</v>
      </c>
    </row>
    <row r="8" spans="1:7">
      <c r="A8" s="12">
        <v>2022</v>
      </c>
      <c r="B8" s="12" t="s">
        <v>130</v>
      </c>
      <c r="C8" s="12">
        <v>0</v>
      </c>
      <c r="D8" s="12">
        <v>0</v>
      </c>
      <c r="E8" s="12">
        <v>0</v>
      </c>
      <c r="F8" s="12">
        <v>0</v>
      </c>
      <c r="G8" s="12" t="s">
        <v>185</v>
      </c>
    </row>
    <row r="9" spans="1:7">
      <c r="A9" s="12">
        <v>2022</v>
      </c>
      <c r="B9" s="12" t="s">
        <v>133</v>
      </c>
      <c r="C9" s="12">
        <v>0</v>
      </c>
      <c r="D9" s="12">
        <v>0</v>
      </c>
      <c r="E9" s="12">
        <v>0</v>
      </c>
      <c r="F9" s="12">
        <v>0</v>
      </c>
      <c r="G9" s="12" t="s">
        <v>185</v>
      </c>
    </row>
    <row r="10" spans="1:7">
      <c r="A10" s="12">
        <v>2022</v>
      </c>
      <c r="B10" s="12" t="s">
        <v>136</v>
      </c>
      <c r="C10" s="12">
        <v>0</v>
      </c>
      <c r="D10" s="12">
        <v>0</v>
      </c>
      <c r="E10" s="12">
        <v>0</v>
      </c>
      <c r="F10" s="12">
        <v>0</v>
      </c>
      <c r="G10" s="12" t="s">
        <v>185</v>
      </c>
    </row>
    <row r="11" spans="1:7">
      <c r="A11" s="12">
        <v>2022</v>
      </c>
      <c r="B11" s="12" t="s">
        <v>140</v>
      </c>
      <c r="C11" s="12">
        <v>0</v>
      </c>
      <c r="D11" s="12">
        <v>0</v>
      </c>
      <c r="E11" s="12">
        <v>0</v>
      </c>
      <c r="F11" s="12">
        <v>0</v>
      </c>
      <c r="G11" s="12" t="s">
        <v>185</v>
      </c>
    </row>
    <row r="12" spans="1:7">
      <c r="A12" s="12">
        <v>2022</v>
      </c>
      <c r="B12" s="12" t="s">
        <v>143</v>
      </c>
      <c r="C12" s="12">
        <v>0</v>
      </c>
      <c r="D12" s="12">
        <v>0</v>
      </c>
      <c r="E12" s="12">
        <v>0</v>
      </c>
      <c r="F12" s="12">
        <v>0</v>
      </c>
      <c r="G12" s="12" t="s">
        <v>185</v>
      </c>
    </row>
    <row r="13" spans="1:7">
      <c r="A13" s="12">
        <v>2022</v>
      </c>
      <c r="B13" s="12" t="s">
        <v>146</v>
      </c>
      <c r="C13" s="12">
        <v>0</v>
      </c>
      <c r="D13" s="12">
        <v>0</v>
      </c>
      <c r="E13" s="12">
        <v>0</v>
      </c>
      <c r="F13" s="12">
        <v>0</v>
      </c>
      <c r="G13" s="12" t="s">
        <v>185</v>
      </c>
    </row>
    <row r="14" spans="1:7">
      <c r="A14" s="12">
        <v>2023</v>
      </c>
      <c r="B14" s="12" t="s">
        <v>130</v>
      </c>
      <c r="C14" s="12">
        <v>0</v>
      </c>
      <c r="D14" s="12">
        <v>0</v>
      </c>
      <c r="E14" s="12">
        <v>0</v>
      </c>
      <c r="F14" s="12">
        <v>0</v>
      </c>
      <c r="G14" s="12" t="s">
        <v>185</v>
      </c>
    </row>
    <row r="15" spans="1:7">
      <c r="A15" s="12">
        <v>2023</v>
      </c>
      <c r="B15" s="12" t="s">
        <v>133</v>
      </c>
      <c r="C15" s="12">
        <v>0</v>
      </c>
      <c r="D15" s="12">
        <v>0</v>
      </c>
      <c r="E15" s="12">
        <v>0</v>
      </c>
      <c r="F15" s="12">
        <v>0</v>
      </c>
      <c r="G15" s="12" t="s">
        <v>185</v>
      </c>
    </row>
    <row r="16" spans="1:7">
      <c r="A16" s="12">
        <v>2023</v>
      </c>
      <c r="B16" s="12" t="s">
        <v>136</v>
      </c>
      <c r="C16" s="12">
        <v>0</v>
      </c>
      <c r="D16" s="12">
        <v>0</v>
      </c>
      <c r="E16" s="12">
        <v>0</v>
      </c>
      <c r="F16" s="12">
        <v>0</v>
      </c>
      <c r="G16" s="12" t="s">
        <v>185</v>
      </c>
    </row>
    <row r="17" spans="1:7">
      <c r="A17" s="12">
        <v>2023</v>
      </c>
      <c r="B17" s="12" t="s">
        <v>140</v>
      </c>
      <c r="C17" s="12">
        <v>0</v>
      </c>
      <c r="D17" s="12">
        <v>0</v>
      </c>
      <c r="E17" s="12">
        <v>0</v>
      </c>
      <c r="F17" s="12">
        <v>0</v>
      </c>
      <c r="G17" s="12" t="s">
        <v>185</v>
      </c>
    </row>
    <row r="18" spans="1:7">
      <c r="A18" s="12">
        <v>2023</v>
      </c>
      <c r="B18" s="12" t="s">
        <v>143</v>
      </c>
      <c r="C18" s="12">
        <v>0</v>
      </c>
      <c r="D18" s="12">
        <v>0</v>
      </c>
      <c r="E18" s="12">
        <v>0</v>
      </c>
      <c r="F18" s="12">
        <v>0</v>
      </c>
      <c r="G18" s="12" t="s">
        <v>185</v>
      </c>
    </row>
    <row r="19" spans="1:7">
      <c r="A19" s="12">
        <v>2023</v>
      </c>
      <c r="B19" s="12" t="s">
        <v>146</v>
      </c>
      <c r="C19" s="12">
        <v>0</v>
      </c>
      <c r="D19" s="12">
        <v>0</v>
      </c>
      <c r="E19" s="12">
        <v>0</v>
      </c>
      <c r="F19" s="12">
        <v>0</v>
      </c>
      <c r="G19" s="12" t="s">
        <v>185</v>
      </c>
    </row>
    <row r="20" spans="1:7">
      <c r="A20" s="12">
        <v>2024</v>
      </c>
      <c r="B20" s="12" t="s">
        <v>130</v>
      </c>
      <c r="C20" s="12">
        <v>0</v>
      </c>
      <c r="D20" s="12">
        <v>0</v>
      </c>
      <c r="E20" s="12">
        <v>0</v>
      </c>
      <c r="F20" s="12">
        <v>0</v>
      </c>
      <c r="G20" s="12" t="s">
        <v>185</v>
      </c>
    </row>
    <row r="21" spans="1:7">
      <c r="A21" s="12">
        <v>2024</v>
      </c>
      <c r="B21" s="12" t="s">
        <v>133</v>
      </c>
      <c r="C21" s="12">
        <v>1</v>
      </c>
      <c r="D21" s="12">
        <v>0</v>
      </c>
      <c r="E21" s="12">
        <v>0</v>
      </c>
      <c r="F21" s="12">
        <v>0</v>
      </c>
      <c r="G21" s="12" t="s">
        <v>185</v>
      </c>
    </row>
    <row r="22" spans="1:7">
      <c r="A22" s="12">
        <v>2024</v>
      </c>
      <c r="B22" s="12" t="s">
        <v>136</v>
      </c>
      <c r="C22" s="12">
        <v>0</v>
      </c>
      <c r="D22" s="12">
        <v>0</v>
      </c>
      <c r="E22" s="12">
        <v>0</v>
      </c>
      <c r="F22" s="12">
        <v>0</v>
      </c>
      <c r="G22" s="12" t="s">
        <v>185</v>
      </c>
    </row>
    <row r="23" spans="1:7">
      <c r="A23" s="12">
        <v>2024</v>
      </c>
      <c r="B23" s="12" t="s">
        <v>140</v>
      </c>
      <c r="C23" s="12">
        <v>0</v>
      </c>
      <c r="D23" s="12">
        <v>0</v>
      </c>
      <c r="E23" s="12">
        <v>0</v>
      </c>
      <c r="F23" s="12">
        <v>0</v>
      </c>
      <c r="G23" s="12" t="s">
        <v>185</v>
      </c>
    </row>
    <row r="24" spans="1:7">
      <c r="A24" s="12">
        <v>2024</v>
      </c>
      <c r="B24" s="12" t="s">
        <v>143</v>
      </c>
      <c r="C24" s="12">
        <v>1</v>
      </c>
      <c r="D24" s="12">
        <v>0</v>
      </c>
      <c r="E24" s="12">
        <v>0</v>
      </c>
      <c r="F24" s="12">
        <v>0</v>
      </c>
      <c r="G24" s="12" t="s">
        <v>185</v>
      </c>
    </row>
    <row r="25" spans="1:7">
      <c r="A25" s="12">
        <v>2024</v>
      </c>
      <c r="B25" s="12" t="s">
        <v>146</v>
      </c>
      <c r="C25" s="12">
        <v>0</v>
      </c>
      <c r="D25" s="12">
        <v>0</v>
      </c>
      <c r="E25" s="12">
        <v>0</v>
      </c>
      <c r="F25" s="12">
        <v>0</v>
      </c>
      <c r="G25" s="12" t="s">
        <v>185</v>
      </c>
    </row>
    <row r="26" spans="1:7">
      <c r="A26" s="12">
        <v>2025</v>
      </c>
      <c r="B26" s="12" t="s">
        <v>130</v>
      </c>
      <c r="C26" s="12">
        <v>0</v>
      </c>
      <c r="D26" s="12">
        <v>0</v>
      </c>
      <c r="E26" s="12">
        <v>0</v>
      </c>
      <c r="F26" s="12">
        <v>0</v>
      </c>
      <c r="G26" s="12" t="s">
        <v>185</v>
      </c>
    </row>
    <row r="27" spans="1:7">
      <c r="A27" s="12">
        <v>2025</v>
      </c>
      <c r="B27" s="12" t="s">
        <v>133</v>
      </c>
      <c r="C27" s="12">
        <v>1</v>
      </c>
      <c r="D27" s="12">
        <v>0</v>
      </c>
      <c r="E27" s="12">
        <v>0</v>
      </c>
      <c r="F27" s="12">
        <v>0</v>
      </c>
      <c r="G27" s="12" t="s">
        <v>185</v>
      </c>
    </row>
    <row r="28" spans="1:7">
      <c r="A28" s="12">
        <v>2025</v>
      </c>
      <c r="B28" s="12" t="s">
        <v>136</v>
      </c>
      <c r="C28" s="12">
        <v>0</v>
      </c>
      <c r="D28" s="12">
        <v>0</v>
      </c>
      <c r="E28" s="12">
        <v>0</v>
      </c>
      <c r="F28" s="12">
        <v>0</v>
      </c>
      <c r="G28" s="12" t="s">
        <v>185</v>
      </c>
    </row>
    <row r="29" spans="1:7">
      <c r="A29" s="12">
        <v>2025</v>
      </c>
      <c r="B29" s="12" t="s">
        <v>140</v>
      </c>
      <c r="C29" s="12">
        <v>0</v>
      </c>
      <c r="D29" s="12">
        <v>0</v>
      </c>
      <c r="E29" s="12">
        <v>0</v>
      </c>
      <c r="F29" s="12">
        <v>0</v>
      </c>
      <c r="G29" s="12" t="s">
        <v>185</v>
      </c>
    </row>
    <row r="30" spans="1:7">
      <c r="A30" s="12">
        <v>2025</v>
      </c>
      <c r="B30" s="12" t="s">
        <v>143</v>
      </c>
      <c r="C30" s="12">
        <v>1</v>
      </c>
      <c r="D30" s="12">
        <v>0</v>
      </c>
      <c r="E30" s="12">
        <v>0</v>
      </c>
      <c r="F30" s="12">
        <v>0</v>
      </c>
      <c r="G30" s="12" t="s">
        <v>185</v>
      </c>
    </row>
    <row r="31" spans="1:7">
      <c r="A31" s="12">
        <v>2025</v>
      </c>
      <c r="B31" s="12" t="s">
        <v>146</v>
      </c>
      <c r="C31" s="12">
        <v>0</v>
      </c>
      <c r="D31" s="12">
        <v>0</v>
      </c>
      <c r="E31" s="12">
        <v>0</v>
      </c>
      <c r="F31" s="12">
        <v>0</v>
      </c>
      <c r="G31" s="12" t="s">
        <v>185</v>
      </c>
    </row>
    <row r="32" spans="1:7">
      <c r="A32" s="12">
        <v>2026</v>
      </c>
      <c r="B32" s="12" t="s">
        <v>130</v>
      </c>
      <c r="C32" s="12">
        <v>1</v>
      </c>
      <c r="D32" s="12">
        <v>0</v>
      </c>
      <c r="E32" s="12">
        <v>0</v>
      </c>
      <c r="F32" s="12">
        <v>0</v>
      </c>
      <c r="G32" s="12" t="s">
        <v>188</v>
      </c>
    </row>
    <row r="33" spans="1:7">
      <c r="A33" s="12">
        <v>2026</v>
      </c>
      <c r="B33" s="12" t="s">
        <v>133</v>
      </c>
      <c r="C33" s="12">
        <v>2</v>
      </c>
      <c r="D33" s="12">
        <v>0</v>
      </c>
      <c r="E33" s="12">
        <v>0</v>
      </c>
      <c r="F33" s="12">
        <v>0</v>
      </c>
      <c r="G33" s="12" t="s">
        <v>188</v>
      </c>
    </row>
    <row r="34" spans="1:7">
      <c r="A34" s="12">
        <v>2026</v>
      </c>
      <c r="B34" s="12" t="s">
        <v>136</v>
      </c>
      <c r="C34" s="12">
        <v>0</v>
      </c>
      <c r="D34" s="12">
        <v>0</v>
      </c>
      <c r="E34" s="12">
        <v>0</v>
      </c>
      <c r="F34" s="12">
        <v>0</v>
      </c>
      <c r="G34" s="12" t="s">
        <v>188</v>
      </c>
    </row>
    <row r="35" spans="1:7">
      <c r="A35" s="12">
        <v>2026</v>
      </c>
      <c r="B35" s="12" t="s">
        <v>140</v>
      </c>
      <c r="C35" s="12">
        <v>0</v>
      </c>
      <c r="D35" s="12">
        <v>0</v>
      </c>
      <c r="E35" s="12">
        <v>0</v>
      </c>
      <c r="F35" s="12">
        <v>0</v>
      </c>
      <c r="G35" s="12" t="s">
        <v>188</v>
      </c>
    </row>
    <row r="36" spans="1:7">
      <c r="A36" s="12">
        <v>2026</v>
      </c>
      <c r="B36" s="12" t="s">
        <v>143</v>
      </c>
      <c r="C36" s="12">
        <v>1</v>
      </c>
      <c r="D36" s="12">
        <v>0</v>
      </c>
      <c r="E36" s="12">
        <v>0</v>
      </c>
      <c r="F36" s="12">
        <v>0</v>
      </c>
      <c r="G36" s="12" t="s">
        <v>188</v>
      </c>
    </row>
    <row r="37" spans="1:7">
      <c r="A37" s="12">
        <v>2026</v>
      </c>
      <c r="B37" s="12" t="s">
        <v>146</v>
      </c>
      <c r="C37" s="12">
        <v>0</v>
      </c>
      <c r="D37" s="12">
        <v>0</v>
      </c>
      <c r="E37" s="12">
        <v>0</v>
      </c>
      <c r="F37" s="12">
        <v>0</v>
      </c>
      <c r="G37" s="12" t="s">
        <v>188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selection activeCell="F26" sqref="F26"/>
    </sheetView>
  </sheetViews>
  <sheetFormatPr defaultRowHeight="14.25"/>
  <cols>
    <col min="1" max="2" width="20" customWidth="1"/>
    <col min="3" max="4" width="24" customWidth="1"/>
    <col min="5" max="10" width="20" customWidth="1"/>
  </cols>
  <sheetData>
    <row r="1" spans="1:10" ht="15">
      <c r="A1" s="9" t="s">
        <v>172</v>
      </c>
      <c r="B1" s="9" t="s">
        <v>205</v>
      </c>
      <c r="C1" s="9" t="s">
        <v>206</v>
      </c>
      <c r="D1" s="9" t="s">
        <v>173</v>
      </c>
      <c r="E1" s="10" t="s">
        <v>207</v>
      </c>
      <c r="F1" s="10" t="s">
        <v>208</v>
      </c>
      <c r="G1" s="10" t="s">
        <v>176</v>
      </c>
      <c r="H1" s="11" t="s">
        <v>177</v>
      </c>
      <c r="I1" s="9" t="s">
        <v>209</v>
      </c>
      <c r="J1" s="9" t="s">
        <v>129</v>
      </c>
    </row>
    <row r="2" spans="1:10">
      <c r="A2" s="12">
        <v>2025</v>
      </c>
      <c r="B2" s="12" t="s">
        <v>210</v>
      </c>
      <c r="C2" s="12" t="s">
        <v>211</v>
      </c>
      <c r="D2" s="12" t="s">
        <v>212</v>
      </c>
      <c r="E2" s="12"/>
      <c r="F2" s="12"/>
      <c r="G2" s="12"/>
      <c r="H2" s="12" t="str">
        <f t="shared" ref="H2:H7" si="0">IF(E2&gt;0,G2/E2,"")</f>
        <v/>
      </c>
      <c r="I2" s="12" t="s">
        <v>213</v>
      </c>
      <c r="J2" s="12" t="s">
        <v>185</v>
      </c>
    </row>
    <row r="3" spans="1:10">
      <c r="A3" s="12">
        <v>2025</v>
      </c>
      <c r="B3" s="12" t="s">
        <v>214</v>
      </c>
      <c r="C3" s="12" t="s">
        <v>215</v>
      </c>
      <c r="D3" s="12" t="s">
        <v>216</v>
      </c>
      <c r="E3" s="12"/>
      <c r="F3" s="12"/>
      <c r="G3" s="12"/>
      <c r="H3" s="12" t="str">
        <f t="shared" si="0"/>
        <v/>
      </c>
      <c r="I3" s="12" t="s">
        <v>217</v>
      </c>
      <c r="J3" s="12" t="s">
        <v>185</v>
      </c>
    </row>
    <row r="4" spans="1:10">
      <c r="A4" s="12">
        <v>2025</v>
      </c>
      <c r="B4" s="12" t="s">
        <v>218</v>
      </c>
      <c r="C4" s="12" t="s">
        <v>219</v>
      </c>
      <c r="D4" s="12" t="s">
        <v>220</v>
      </c>
      <c r="E4" s="12"/>
      <c r="F4" s="12"/>
      <c r="G4" s="12"/>
      <c r="H4" s="12" t="str">
        <f t="shared" si="0"/>
        <v/>
      </c>
      <c r="I4" s="12" t="s">
        <v>213</v>
      </c>
      <c r="J4" s="12" t="s">
        <v>185</v>
      </c>
    </row>
    <row r="5" spans="1:10">
      <c r="A5" s="12">
        <v>2026</v>
      </c>
      <c r="B5" s="12" t="s">
        <v>221</v>
      </c>
      <c r="C5" s="12" t="s">
        <v>222</v>
      </c>
      <c r="D5" s="12" t="s">
        <v>212</v>
      </c>
      <c r="E5" s="12"/>
      <c r="F5" s="12"/>
      <c r="G5" s="12"/>
      <c r="H5" s="12" t="str">
        <f t="shared" si="0"/>
        <v/>
      </c>
      <c r="I5" s="12" t="s">
        <v>213</v>
      </c>
      <c r="J5" s="12" t="s">
        <v>188</v>
      </c>
    </row>
    <row r="6" spans="1:10">
      <c r="A6" s="12">
        <v>2026</v>
      </c>
      <c r="B6" s="12" t="s">
        <v>223</v>
      </c>
      <c r="C6" s="12" t="s">
        <v>224</v>
      </c>
      <c r="D6" s="12" t="s">
        <v>216</v>
      </c>
      <c r="E6" s="12"/>
      <c r="F6" s="12"/>
      <c r="G6" s="12"/>
      <c r="H6" s="12" t="str">
        <f t="shared" si="0"/>
        <v/>
      </c>
      <c r="I6" s="12" t="s">
        <v>213</v>
      </c>
      <c r="J6" s="12" t="s">
        <v>188</v>
      </c>
    </row>
    <row r="7" spans="1:10">
      <c r="A7" s="12">
        <v>2026</v>
      </c>
      <c r="B7" s="12" t="s">
        <v>225</v>
      </c>
      <c r="C7" s="12" t="s">
        <v>226</v>
      </c>
      <c r="D7" s="12" t="s">
        <v>220</v>
      </c>
      <c r="E7" s="12"/>
      <c r="F7" s="12"/>
      <c r="G7" s="12"/>
      <c r="H7" s="12" t="str">
        <f t="shared" si="0"/>
        <v/>
      </c>
      <c r="I7" s="12" t="s">
        <v>213</v>
      </c>
      <c r="J7" s="12" t="s">
        <v>188</v>
      </c>
    </row>
  </sheetData>
  <dataValidations count="1">
    <dataValidation type="list" sqref="I2:I500" xr:uid="{00000000-0002-0000-0B00-000000000000}">
      <formula1>"Active,Closed,On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"/>
  <sheetViews>
    <sheetView workbookViewId="0">
      <selection activeCell="G31" sqref="G31"/>
    </sheetView>
  </sheetViews>
  <sheetFormatPr defaultRowHeight="14.25"/>
  <cols>
    <col min="1" max="10" width="20" customWidth="1"/>
  </cols>
  <sheetData>
    <row r="1" spans="1:10" ht="30">
      <c r="A1" s="9" t="s">
        <v>172</v>
      </c>
      <c r="B1" s="9" t="s">
        <v>125</v>
      </c>
      <c r="C1" s="11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233</v>
      </c>
      <c r="J1" s="9" t="s">
        <v>129</v>
      </c>
    </row>
    <row r="2" spans="1:10">
      <c r="A2" s="12">
        <v>2021</v>
      </c>
      <c r="B2" s="12" t="s">
        <v>130</v>
      </c>
      <c r="C2" s="12">
        <v>0.78</v>
      </c>
      <c r="D2" s="12"/>
      <c r="E2" s="12"/>
      <c r="F2" s="12"/>
      <c r="G2" s="12"/>
      <c r="H2" s="12"/>
      <c r="I2" s="12" t="s">
        <v>234</v>
      </c>
      <c r="J2" s="12" t="s">
        <v>185</v>
      </c>
    </row>
    <row r="3" spans="1:10">
      <c r="A3" s="12">
        <v>2021</v>
      </c>
      <c r="B3" s="12" t="s">
        <v>133</v>
      </c>
      <c r="C3" s="12">
        <v>0.86</v>
      </c>
      <c r="D3" s="12"/>
      <c r="E3" s="12"/>
      <c r="F3" s="12"/>
      <c r="G3" s="12"/>
      <c r="H3" s="12"/>
      <c r="I3" s="12" t="s">
        <v>235</v>
      </c>
      <c r="J3" s="12" t="s">
        <v>185</v>
      </c>
    </row>
    <row r="4" spans="1:10">
      <c r="A4" s="12">
        <v>2021</v>
      </c>
      <c r="B4" s="12" t="s">
        <v>143</v>
      </c>
      <c r="C4" s="12">
        <v>0.88</v>
      </c>
      <c r="D4" s="12"/>
      <c r="E4" s="12"/>
      <c r="F4" s="12"/>
      <c r="G4" s="12"/>
      <c r="H4" s="12"/>
      <c r="I4" s="12" t="s">
        <v>235</v>
      </c>
      <c r="J4" s="12" t="s">
        <v>185</v>
      </c>
    </row>
    <row r="5" spans="1:10">
      <c r="A5" s="12">
        <v>2021</v>
      </c>
      <c r="B5" s="12" t="s">
        <v>136</v>
      </c>
      <c r="C5" s="12">
        <v>0.7</v>
      </c>
      <c r="D5" s="12"/>
      <c r="E5" s="12"/>
      <c r="F5" s="12"/>
      <c r="G5" s="12"/>
      <c r="H5" s="12"/>
      <c r="I5" s="12" t="s">
        <v>236</v>
      </c>
      <c r="J5" s="12" t="s">
        <v>185</v>
      </c>
    </row>
    <row r="6" spans="1:10">
      <c r="A6" s="12">
        <v>2022</v>
      </c>
      <c r="B6" s="12" t="s">
        <v>130</v>
      </c>
      <c r="C6" s="12">
        <v>0.78</v>
      </c>
      <c r="D6" s="12"/>
      <c r="E6" s="12"/>
      <c r="F6" s="12"/>
      <c r="G6" s="12"/>
      <c r="H6" s="12"/>
      <c r="I6" s="12" t="s">
        <v>234</v>
      </c>
      <c r="J6" s="12" t="s">
        <v>185</v>
      </c>
    </row>
    <row r="7" spans="1:10">
      <c r="A7" s="12">
        <v>2022</v>
      </c>
      <c r="B7" s="12" t="s">
        <v>133</v>
      </c>
      <c r="C7" s="12">
        <v>0.86</v>
      </c>
      <c r="D7" s="12"/>
      <c r="E7" s="12"/>
      <c r="F7" s="12"/>
      <c r="G7" s="12"/>
      <c r="H7" s="12"/>
      <c r="I7" s="12" t="s">
        <v>235</v>
      </c>
      <c r="J7" s="12" t="s">
        <v>185</v>
      </c>
    </row>
    <row r="8" spans="1:10">
      <c r="A8" s="12">
        <v>2022</v>
      </c>
      <c r="B8" s="12" t="s">
        <v>143</v>
      </c>
      <c r="C8" s="12">
        <v>0.88</v>
      </c>
      <c r="D8" s="12"/>
      <c r="E8" s="12"/>
      <c r="F8" s="12"/>
      <c r="G8" s="12"/>
      <c r="H8" s="12"/>
      <c r="I8" s="12" t="s">
        <v>235</v>
      </c>
      <c r="J8" s="12" t="s">
        <v>185</v>
      </c>
    </row>
    <row r="9" spans="1:10">
      <c r="A9" s="12">
        <v>2022</v>
      </c>
      <c r="B9" s="12" t="s">
        <v>136</v>
      </c>
      <c r="C9" s="12">
        <v>0.7</v>
      </c>
      <c r="D9" s="12"/>
      <c r="E9" s="12"/>
      <c r="F9" s="12"/>
      <c r="G9" s="12"/>
      <c r="H9" s="12"/>
      <c r="I9" s="12" t="s">
        <v>236</v>
      </c>
      <c r="J9" s="12" t="s">
        <v>185</v>
      </c>
    </row>
    <row r="10" spans="1:10">
      <c r="A10" s="12">
        <v>2023</v>
      </c>
      <c r="B10" s="12" t="s">
        <v>130</v>
      </c>
      <c r="C10" s="12">
        <v>0.78</v>
      </c>
      <c r="D10" s="12"/>
      <c r="E10" s="12"/>
      <c r="F10" s="12"/>
      <c r="G10" s="12"/>
      <c r="H10" s="12"/>
      <c r="I10" s="12" t="s">
        <v>234</v>
      </c>
      <c r="J10" s="12" t="s">
        <v>185</v>
      </c>
    </row>
    <row r="11" spans="1:10">
      <c r="A11" s="12">
        <v>2023</v>
      </c>
      <c r="B11" s="12" t="s">
        <v>133</v>
      </c>
      <c r="C11" s="12">
        <v>0.86</v>
      </c>
      <c r="D11" s="12"/>
      <c r="E11" s="12"/>
      <c r="F11" s="12"/>
      <c r="G11" s="12"/>
      <c r="H11" s="12"/>
      <c r="I11" s="12" t="s">
        <v>235</v>
      </c>
      <c r="J11" s="12" t="s">
        <v>185</v>
      </c>
    </row>
    <row r="12" spans="1:10">
      <c r="A12" s="12">
        <v>2023</v>
      </c>
      <c r="B12" s="12" t="s">
        <v>143</v>
      </c>
      <c r="C12" s="12">
        <v>0.88</v>
      </c>
      <c r="D12" s="12"/>
      <c r="E12" s="12"/>
      <c r="F12" s="12"/>
      <c r="G12" s="12"/>
      <c r="H12" s="12"/>
      <c r="I12" s="12" t="s">
        <v>235</v>
      </c>
      <c r="J12" s="12" t="s">
        <v>185</v>
      </c>
    </row>
    <row r="13" spans="1:10">
      <c r="A13" s="12">
        <v>2023</v>
      </c>
      <c r="B13" s="12" t="s">
        <v>136</v>
      </c>
      <c r="C13" s="12">
        <v>0.7</v>
      </c>
      <c r="D13" s="12"/>
      <c r="E13" s="12"/>
      <c r="F13" s="12"/>
      <c r="G13" s="12"/>
      <c r="H13" s="12"/>
      <c r="I13" s="12" t="s">
        <v>236</v>
      </c>
      <c r="J13" s="12" t="s">
        <v>185</v>
      </c>
    </row>
    <row r="14" spans="1:10">
      <c r="A14" s="12">
        <v>2024</v>
      </c>
      <c r="B14" s="12" t="s">
        <v>130</v>
      </c>
      <c r="C14" s="12">
        <v>0.78</v>
      </c>
      <c r="D14" s="12"/>
      <c r="E14" s="12"/>
      <c r="F14" s="12"/>
      <c r="G14" s="12"/>
      <c r="H14" s="12"/>
      <c r="I14" s="12" t="s">
        <v>234</v>
      </c>
      <c r="J14" s="12" t="s">
        <v>185</v>
      </c>
    </row>
    <row r="15" spans="1:10">
      <c r="A15" s="12">
        <v>2024</v>
      </c>
      <c r="B15" s="12" t="s">
        <v>133</v>
      </c>
      <c r="C15" s="12">
        <v>0.86</v>
      </c>
      <c r="D15" s="12"/>
      <c r="E15" s="12"/>
      <c r="F15" s="12"/>
      <c r="G15" s="12"/>
      <c r="H15" s="12"/>
      <c r="I15" s="12" t="s">
        <v>235</v>
      </c>
      <c r="J15" s="12" t="s">
        <v>185</v>
      </c>
    </row>
    <row r="16" spans="1:10">
      <c r="A16" s="12">
        <v>2024</v>
      </c>
      <c r="B16" s="12" t="s">
        <v>143</v>
      </c>
      <c r="C16" s="12">
        <v>0.88</v>
      </c>
      <c r="D16" s="12"/>
      <c r="E16" s="12"/>
      <c r="F16" s="12"/>
      <c r="G16" s="12"/>
      <c r="H16" s="12"/>
      <c r="I16" s="12" t="s">
        <v>235</v>
      </c>
      <c r="J16" s="12" t="s">
        <v>185</v>
      </c>
    </row>
    <row r="17" spans="1:10">
      <c r="A17" s="12">
        <v>2024</v>
      </c>
      <c r="B17" s="12" t="s">
        <v>136</v>
      </c>
      <c r="C17" s="12">
        <v>0.7</v>
      </c>
      <c r="D17" s="12"/>
      <c r="E17" s="12"/>
      <c r="F17" s="12"/>
      <c r="G17" s="12"/>
      <c r="H17" s="12"/>
      <c r="I17" s="12" t="s">
        <v>236</v>
      </c>
      <c r="J17" s="12" t="s">
        <v>185</v>
      </c>
    </row>
    <row r="18" spans="1:10">
      <c r="A18" s="12">
        <v>2025</v>
      </c>
      <c r="B18" s="12" t="s">
        <v>130</v>
      </c>
      <c r="C18" s="12">
        <v>0.78</v>
      </c>
      <c r="D18" s="12"/>
      <c r="E18" s="12"/>
      <c r="F18" s="12"/>
      <c r="G18" s="12"/>
      <c r="H18" s="12"/>
      <c r="I18" s="12" t="s">
        <v>234</v>
      </c>
      <c r="J18" s="12" t="s">
        <v>185</v>
      </c>
    </row>
    <row r="19" spans="1:10">
      <c r="A19" s="12">
        <v>2025</v>
      </c>
      <c r="B19" s="12" t="s">
        <v>133</v>
      </c>
      <c r="C19" s="12">
        <v>0.86</v>
      </c>
      <c r="D19" s="12">
        <v>1038</v>
      </c>
      <c r="E19" s="12"/>
      <c r="F19" s="12"/>
      <c r="G19" s="12"/>
      <c r="H19" s="12"/>
      <c r="I19" s="12" t="s">
        <v>235</v>
      </c>
      <c r="J19" s="12" t="s">
        <v>185</v>
      </c>
    </row>
    <row r="20" spans="1:10">
      <c r="A20" s="12">
        <v>2025</v>
      </c>
      <c r="B20" s="12" t="s">
        <v>143</v>
      </c>
      <c r="C20" s="12">
        <v>0.88</v>
      </c>
      <c r="D20" s="12"/>
      <c r="E20" s="12"/>
      <c r="F20" s="12"/>
      <c r="G20" s="12"/>
      <c r="H20" s="12"/>
      <c r="I20" s="12" t="s">
        <v>235</v>
      </c>
      <c r="J20" s="12" t="s">
        <v>185</v>
      </c>
    </row>
    <row r="21" spans="1:10">
      <c r="A21" s="12">
        <v>2025</v>
      </c>
      <c r="B21" s="12" t="s">
        <v>136</v>
      </c>
      <c r="C21" s="12">
        <v>0.7</v>
      </c>
      <c r="D21" s="12"/>
      <c r="E21" s="12"/>
      <c r="F21" s="12"/>
      <c r="G21" s="12"/>
      <c r="H21" s="12"/>
      <c r="I21" s="12" t="s">
        <v>236</v>
      </c>
      <c r="J21" s="12" t="s">
        <v>185</v>
      </c>
    </row>
    <row r="22" spans="1:10">
      <c r="A22" s="12">
        <v>2026</v>
      </c>
      <c r="B22" s="12" t="s">
        <v>130</v>
      </c>
      <c r="C22" s="12">
        <v>0.8</v>
      </c>
      <c r="D22" s="12"/>
      <c r="E22" s="12"/>
      <c r="F22" s="12"/>
      <c r="G22" s="12"/>
      <c r="H22" s="12"/>
      <c r="I22" s="12" t="s">
        <v>234</v>
      </c>
      <c r="J22" s="12" t="s">
        <v>188</v>
      </c>
    </row>
    <row r="23" spans="1:10">
      <c r="A23" s="12">
        <v>2026</v>
      </c>
      <c r="B23" s="12" t="s">
        <v>133</v>
      </c>
      <c r="C23" s="12">
        <v>0.87</v>
      </c>
      <c r="D23" s="12">
        <v>1081</v>
      </c>
      <c r="E23" s="12"/>
      <c r="F23" s="12"/>
      <c r="G23" s="12"/>
      <c r="H23" s="12"/>
      <c r="I23" s="12" t="s">
        <v>235</v>
      </c>
      <c r="J23" s="12" t="s">
        <v>188</v>
      </c>
    </row>
    <row r="24" spans="1:10">
      <c r="A24" s="12">
        <v>2026</v>
      </c>
      <c r="B24" s="12" t="s">
        <v>143</v>
      </c>
      <c r="C24" s="12">
        <v>0.89</v>
      </c>
      <c r="D24" s="12"/>
      <c r="E24" s="12"/>
      <c r="F24" s="12"/>
      <c r="G24" s="12"/>
      <c r="H24" s="12"/>
      <c r="I24" s="12" t="s">
        <v>235</v>
      </c>
      <c r="J24" s="12" t="s">
        <v>188</v>
      </c>
    </row>
    <row r="25" spans="1:10">
      <c r="A25" s="12">
        <v>2026</v>
      </c>
      <c r="B25" s="12" t="s">
        <v>136</v>
      </c>
      <c r="C25" s="12">
        <v>0.71</v>
      </c>
      <c r="D25" s="12"/>
      <c r="E25" s="12"/>
      <c r="F25" s="12"/>
      <c r="G25" s="12"/>
      <c r="H25" s="12"/>
      <c r="I25" s="12" t="s">
        <v>236</v>
      </c>
      <c r="J25" s="12" t="s">
        <v>188</v>
      </c>
    </row>
  </sheetData>
  <dataValidations count="1">
    <dataValidation type="list" sqref="I2:I500" xr:uid="{00000000-0002-0000-0C00-000000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workbookViewId="0"/>
  </sheetViews>
  <sheetFormatPr defaultRowHeight="14.25"/>
  <cols>
    <col min="1" max="1" width="26" customWidth="1"/>
    <col min="2" max="2" width="60" customWidth="1"/>
  </cols>
  <sheetData>
    <row r="1" spans="1:2" ht="24" customHeight="1">
      <c r="A1" s="21" t="s">
        <v>245</v>
      </c>
      <c r="B1" s="22" t="s">
        <v>246</v>
      </c>
    </row>
    <row r="2" spans="1:2">
      <c r="A2" t="s">
        <v>247</v>
      </c>
      <c r="B2" t="s">
        <v>248</v>
      </c>
    </row>
    <row r="3" spans="1:2" ht="15">
      <c r="A3" s="3" t="s">
        <v>249</v>
      </c>
      <c r="B3" s="3" t="s">
        <v>250</v>
      </c>
    </row>
    <row r="4" spans="1:2">
      <c r="A4" s="2" t="s">
        <v>251</v>
      </c>
      <c r="B4" s="6" t="s">
        <v>252</v>
      </c>
    </row>
    <row r="5" spans="1:2">
      <c r="A5" s="2"/>
      <c r="B5" s="6"/>
    </row>
    <row r="6" spans="1:2">
      <c r="A6" s="2"/>
      <c r="B6" s="4"/>
    </row>
    <row r="7" spans="1:2">
      <c r="A7" s="2"/>
      <c r="B7" s="7"/>
    </row>
    <row r="8" spans="1:2">
      <c r="A8" s="2"/>
      <c r="B8" s="6"/>
    </row>
    <row r="9" spans="1:2">
      <c r="A9" s="2"/>
      <c r="B9" s="6"/>
    </row>
    <row r="10" spans="1:2">
      <c r="A10" s="2"/>
      <c r="B10" s="4"/>
    </row>
    <row r="11" spans="1:2" ht="15">
      <c r="A11" s="2"/>
      <c r="B11" s="8"/>
    </row>
    <row r="12" spans="1:2" ht="15">
      <c r="A12" s="2"/>
      <c r="B12" s="8"/>
    </row>
  </sheetData>
  <conditionalFormatting sqref="B6">
    <cfRule type="cellIs" dxfId="1" priority="1" operator="lessThan">
      <formula>0.25</formula>
    </cfRule>
  </conditionalFormatting>
  <conditionalFormatting sqref="B10">
    <cfRule type="cellIs" dxfId="0" priority="2" operator="greaterThan">
      <formula>0.09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>
      <selection activeCell="B7" sqref="B7"/>
    </sheetView>
  </sheetViews>
  <sheetFormatPr defaultRowHeight="14.25"/>
  <cols>
    <col min="1" max="1" width="10" customWidth="1"/>
    <col min="2" max="2" width="14" customWidth="1"/>
    <col min="3" max="3" width="12" customWidth="1"/>
    <col min="4" max="4" width="18" customWidth="1"/>
    <col min="5" max="5" width="20" customWidth="1"/>
    <col min="6" max="6" width="16" customWidth="1"/>
    <col min="7" max="7" width="28" customWidth="1"/>
    <col min="8" max="8" width="58" customWidth="1"/>
  </cols>
  <sheetData>
    <row r="1" spans="1:8" ht="30">
      <c r="A1" s="23" t="s">
        <v>172</v>
      </c>
      <c r="B1" s="23" t="s">
        <v>253</v>
      </c>
      <c r="C1" s="23" t="s">
        <v>254</v>
      </c>
      <c r="D1" s="23" t="s">
        <v>255</v>
      </c>
      <c r="E1" s="26" t="s">
        <v>256</v>
      </c>
      <c r="F1" s="23" t="s">
        <v>257</v>
      </c>
      <c r="G1" s="23" t="s">
        <v>50</v>
      </c>
      <c r="H1" s="23" t="s">
        <v>258</v>
      </c>
    </row>
    <row r="2" spans="1:8">
      <c r="A2" s="20">
        <v>2021</v>
      </c>
      <c r="B2" s="20">
        <v>12</v>
      </c>
      <c r="C2" s="20" t="s">
        <v>259</v>
      </c>
      <c r="D2" s="20" t="s">
        <v>260</v>
      </c>
      <c r="E2" s="20">
        <f t="shared" ref="E2:E5" si="0">IF(B2&gt;0,12/B2,"")</f>
        <v>1</v>
      </c>
      <c r="F2" s="20" t="s">
        <v>235</v>
      </c>
      <c r="G2" s="20" t="s">
        <v>261</v>
      </c>
      <c r="H2" s="20" t="s">
        <v>262</v>
      </c>
    </row>
    <row r="3" spans="1:8">
      <c r="A3" s="20">
        <v>2022</v>
      </c>
      <c r="B3" s="20">
        <v>12</v>
      </c>
      <c r="C3" s="20" t="s">
        <v>259</v>
      </c>
      <c r="D3" s="20" t="s">
        <v>263</v>
      </c>
      <c r="E3" s="20">
        <f t="shared" si="0"/>
        <v>1</v>
      </c>
      <c r="F3" s="20" t="s">
        <v>235</v>
      </c>
      <c r="G3" s="20" t="s">
        <v>261</v>
      </c>
      <c r="H3" s="20" t="s">
        <v>262</v>
      </c>
    </row>
    <row r="4" spans="1:8">
      <c r="A4" s="20">
        <v>2023</v>
      </c>
      <c r="B4" s="20">
        <v>12</v>
      </c>
      <c r="C4" s="20" t="s">
        <v>259</v>
      </c>
      <c r="D4" s="20" t="s">
        <v>264</v>
      </c>
      <c r="E4" s="20">
        <f t="shared" si="0"/>
        <v>1</v>
      </c>
      <c r="F4" s="20" t="s">
        <v>235</v>
      </c>
      <c r="G4" s="20" t="s">
        <v>261</v>
      </c>
      <c r="H4" s="20" t="s">
        <v>262</v>
      </c>
    </row>
    <row r="5" spans="1:8">
      <c r="A5" s="20">
        <v>2024</v>
      </c>
      <c r="B5" s="20">
        <v>12</v>
      </c>
      <c r="C5" s="20" t="s">
        <v>259</v>
      </c>
      <c r="D5" s="20" t="s">
        <v>265</v>
      </c>
      <c r="E5" s="20">
        <f t="shared" si="0"/>
        <v>1</v>
      </c>
      <c r="F5" s="20" t="s">
        <v>235</v>
      </c>
      <c r="G5" s="20" t="s">
        <v>261</v>
      </c>
      <c r="H5" s="20" t="s">
        <v>262</v>
      </c>
    </row>
    <row r="6" spans="1:8">
      <c r="A6" s="20">
        <v>2025</v>
      </c>
      <c r="B6" s="20">
        <v>12</v>
      </c>
      <c r="C6" s="20" t="s">
        <v>266</v>
      </c>
      <c r="D6" s="20" t="s">
        <v>267</v>
      </c>
      <c r="E6" s="20">
        <f t="shared" ref="E6" si="1">IF(B6&gt;0,12/B6,"")</f>
        <v>1</v>
      </c>
      <c r="F6" s="20" t="s">
        <v>235</v>
      </c>
      <c r="G6" s="20" t="s">
        <v>261</v>
      </c>
      <c r="H6" s="20" t="s">
        <v>269</v>
      </c>
    </row>
    <row r="7" spans="1:8">
      <c r="A7" s="20">
        <v>2026</v>
      </c>
      <c r="B7" s="20">
        <v>6</v>
      </c>
      <c r="C7" s="20" t="s">
        <v>266</v>
      </c>
      <c r="D7" s="20" t="s">
        <v>267</v>
      </c>
      <c r="E7" s="20">
        <v>2</v>
      </c>
      <c r="F7" s="20" t="s">
        <v>234</v>
      </c>
      <c r="G7" s="20" t="s">
        <v>268</v>
      </c>
      <c r="H7" s="20" t="s">
        <v>269</v>
      </c>
    </row>
  </sheetData>
  <dataValidations count="2">
    <dataValidation type="list" sqref="C2:C100" xr:uid="{00000000-0002-0000-0E00-000000000000}">
      <formula1>"FY,YTD"</formula1>
    </dataValidation>
    <dataValidation type="list" sqref="F2:F100" xr:uid="{00000000-0002-0000-0E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"/>
  <sheetViews>
    <sheetView workbookViewId="0"/>
  </sheetViews>
  <sheetFormatPr defaultRowHeight="14.25"/>
  <cols>
    <col min="1" max="1" width="28" customWidth="1"/>
    <col min="2" max="2" width="42" customWidth="1"/>
    <col min="3" max="3" width="56" customWidth="1"/>
    <col min="4" max="4" width="44" customWidth="1"/>
  </cols>
  <sheetData>
    <row r="1" spans="1:4" ht="15">
      <c r="A1" s="17" t="s">
        <v>270</v>
      </c>
      <c r="B1" s="17" t="s">
        <v>271</v>
      </c>
      <c r="C1" s="17" t="s">
        <v>272</v>
      </c>
      <c r="D1" s="17" t="s">
        <v>273</v>
      </c>
    </row>
    <row r="2" spans="1:4">
      <c r="A2" s="18" t="s">
        <v>274</v>
      </c>
      <c r="B2" s="18" t="s">
        <v>275</v>
      </c>
      <c r="C2" s="18" t="s">
        <v>276</v>
      </c>
      <c r="D2" s="18" t="s">
        <v>277</v>
      </c>
    </row>
    <row r="3" spans="1:4">
      <c r="A3" s="18" t="s">
        <v>278</v>
      </c>
      <c r="B3" s="18" t="s">
        <v>279</v>
      </c>
      <c r="C3" s="18" t="s">
        <v>280</v>
      </c>
      <c r="D3" s="18" t="s">
        <v>281</v>
      </c>
    </row>
    <row r="4" spans="1:4">
      <c r="A4" s="18" t="s">
        <v>282</v>
      </c>
      <c r="B4" s="18" t="s">
        <v>283</v>
      </c>
      <c r="C4" s="18" t="s">
        <v>284</v>
      </c>
      <c r="D4" s="18" t="s">
        <v>285</v>
      </c>
    </row>
    <row r="5" spans="1:4">
      <c r="A5" s="18" t="s">
        <v>286</v>
      </c>
      <c r="B5" s="18" t="s">
        <v>287</v>
      </c>
      <c r="C5" s="18" t="s">
        <v>288</v>
      </c>
      <c r="D5" s="18" t="s">
        <v>289</v>
      </c>
    </row>
    <row r="6" spans="1:4">
      <c r="A6" s="18" t="s">
        <v>290</v>
      </c>
      <c r="B6" s="18" t="s">
        <v>291</v>
      </c>
      <c r="C6" s="18" t="s">
        <v>292</v>
      </c>
      <c r="D6" s="18" t="s">
        <v>293</v>
      </c>
    </row>
    <row r="7" spans="1:4">
      <c r="A7" s="18" t="s">
        <v>294</v>
      </c>
      <c r="B7" s="18" t="s">
        <v>295</v>
      </c>
      <c r="C7" s="18" t="s">
        <v>296</v>
      </c>
      <c r="D7" s="18" t="s">
        <v>297</v>
      </c>
    </row>
    <row r="8" spans="1:4">
      <c r="A8" s="18"/>
      <c r="B8" s="18"/>
      <c r="C8" s="18"/>
      <c r="D8" s="18"/>
    </row>
    <row r="9" spans="1:4" ht="30">
      <c r="A9" s="17" t="s">
        <v>298</v>
      </c>
      <c r="B9" s="17" t="s">
        <v>299</v>
      </c>
      <c r="C9" s="17" t="s">
        <v>300</v>
      </c>
      <c r="D9" s="17" t="s">
        <v>301</v>
      </c>
    </row>
    <row r="10" spans="1:4">
      <c r="A10" s="18" t="s">
        <v>302</v>
      </c>
      <c r="B10" s="18" t="s">
        <v>303</v>
      </c>
      <c r="C10" s="18" t="s">
        <v>304</v>
      </c>
      <c r="D10" s="18" t="s">
        <v>305</v>
      </c>
    </row>
    <row r="11" spans="1:4">
      <c r="A11" s="18" t="s">
        <v>306</v>
      </c>
      <c r="B11" s="18" t="s">
        <v>307</v>
      </c>
      <c r="C11" s="18" t="s">
        <v>308</v>
      </c>
      <c r="D11" s="18" t="s">
        <v>309</v>
      </c>
    </row>
    <row r="12" spans="1:4">
      <c r="A12" s="18" t="s">
        <v>310</v>
      </c>
      <c r="B12" s="18" t="s">
        <v>311</v>
      </c>
      <c r="C12" s="18" t="s">
        <v>67</v>
      </c>
      <c r="D12" s="18" t="s">
        <v>312</v>
      </c>
    </row>
    <row r="13" spans="1:4">
      <c r="A13" s="18" t="s">
        <v>313</v>
      </c>
      <c r="B13" s="18" t="s">
        <v>314</v>
      </c>
      <c r="C13" s="18" t="s">
        <v>315</v>
      </c>
      <c r="D13" s="18" t="s">
        <v>316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4.25"/>
  <cols>
    <col min="1" max="1" width="30" customWidth="1"/>
    <col min="2" max="2" width="32" customWidth="1"/>
    <col min="3" max="3" width="46" customWidth="1"/>
    <col min="4" max="4" width="60" customWidth="1"/>
  </cols>
  <sheetData>
    <row r="1" spans="1:4" ht="15">
      <c r="A1" s="19" t="s">
        <v>317</v>
      </c>
      <c r="B1" s="19" t="s">
        <v>318</v>
      </c>
      <c r="C1" s="19" t="s">
        <v>271</v>
      </c>
      <c r="D1" s="19" t="s">
        <v>272</v>
      </c>
    </row>
    <row r="2" spans="1:4">
      <c r="A2" s="20" t="s">
        <v>274</v>
      </c>
      <c r="B2" s="20" t="s">
        <v>319</v>
      </c>
      <c r="C2" s="20" t="s">
        <v>320</v>
      </c>
      <c r="D2" s="20" t="s">
        <v>321</v>
      </c>
    </row>
    <row r="3" spans="1:4">
      <c r="A3" s="20" t="s">
        <v>274</v>
      </c>
      <c r="B3" s="20" t="s">
        <v>322</v>
      </c>
      <c r="C3" s="20" t="s">
        <v>323</v>
      </c>
      <c r="D3" s="20" t="s">
        <v>324</v>
      </c>
    </row>
    <row r="4" spans="1:4">
      <c r="A4" s="20" t="s">
        <v>278</v>
      </c>
      <c r="B4" s="20" t="s">
        <v>325</v>
      </c>
      <c r="C4" s="20" t="s">
        <v>326</v>
      </c>
      <c r="D4" s="20" t="s">
        <v>327</v>
      </c>
    </row>
    <row r="5" spans="1:4">
      <c r="A5" s="20" t="s">
        <v>278</v>
      </c>
      <c r="B5" s="20" t="s">
        <v>328</v>
      </c>
      <c r="C5" s="20" t="s">
        <v>329</v>
      </c>
      <c r="D5" s="20" t="s">
        <v>330</v>
      </c>
    </row>
    <row r="6" spans="1:4">
      <c r="A6" s="20" t="s">
        <v>282</v>
      </c>
      <c r="B6" s="20" t="s">
        <v>331</v>
      </c>
      <c r="C6" s="20" t="s">
        <v>332</v>
      </c>
      <c r="D6" s="20" t="s">
        <v>333</v>
      </c>
    </row>
    <row r="7" spans="1:4">
      <c r="A7" s="20" t="s">
        <v>282</v>
      </c>
      <c r="B7" s="20" t="s">
        <v>334</v>
      </c>
      <c r="C7" s="20" t="s">
        <v>335</v>
      </c>
      <c r="D7" s="20" t="s">
        <v>336</v>
      </c>
    </row>
    <row r="8" spans="1:4">
      <c r="A8" s="20" t="s">
        <v>286</v>
      </c>
      <c r="B8" s="20" t="s">
        <v>337</v>
      </c>
      <c r="C8" s="20" t="s">
        <v>338</v>
      </c>
      <c r="D8" s="20" t="s">
        <v>339</v>
      </c>
    </row>
    <row r="9" spans="1:4">
      <c r="A9" s="20" t="s">
        <v>286</v>
      </c>
      <c r="B9" s="20" t="s">
        <v>340</v>
      </c>
      <c r="C9" s="20" t="s">
        <v>341</v>
      </c>
      <c r="D9" s="20" t="s">
        <v>342</v>
      </c>
    </row>
    <row r="10" spans="1:4">
      <c r="A10" s="20" t="s">
        <v>343</v>
      </c>
      <c r="B10" s="20" t="s">
        <v>344</v>
      </c>
      <c r="C10" s="20" t="s">
        <v>345</v>
      </c>
      <c r="D10" s="20" t="s">
        <v>346</v>
      </c>
    </row>
    <row r="11" spans="1:4">
      <c r="A11" s="20" t="s">
        <v>343</v>
      </c>
      <c r="B11" s="20" t="s">
        <v>347</v>
      </c>
      <c r="C11" s="20" t="s">
        <v>348</v>
      </c>
      <c r="D11" s="20" t="s">
        <v>349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"/>
  <sheetViews>
    <sheetView workbookViewId="0"/>
  </sheetViews>
  <sheetFormatPr defaultRowHeight="14.25"/>
  <cols>
    <col min="1" max="1" width="28" customWidth="1"/>
    <col min="2" max="2" width="44" customWidth="1"/>
    <col min="3" max="3" width="42" customWidth="1"/>
    <col min="4" max="4" width="58" customWidth="1"/>
  </cols>
  <sheetData>
    <row r="1" spans="1:4" ht="15">
      <c r="A1" s="22" t="s">
        <v>350</v>
      </c>
      <c r="B1" s="22" t="s">
        <v>271</v>
      </c>
      <c r="C1" s="22" t="s">
        <v>351</v>
      </c>
      <c r="D1" s="22" t="s">
        <v>273</v>
      </c>
    </row>
    <row r="2" spans="1:4">
      <c r="A2" s="20" t="s">
        <v>352</v>
      </c>
      <c r="B2" s="20" t="s">
        <v>353</v>
      </c>
      <c r="C2" s="20" t="s">
        <v>354</v>
      </c>
      <c r="D2" s="20" t="s">
        <v>355</v>
      </c>
    </row>
    <row r="3" spans="1:4">
      <c r="A3" s="20" t="s">
        <v>356</v>
      </c>
      <c r="B3" s="20" t="s">
        <v>357</v>
      </c>
      <c r="C3" s="20" t="s">
        <v>358</v>
      </c>
      <c r="D3" s="20" t="s">
        <v>359</v>
      </c>
    </row>
    <row r="4" spans="1:4">
      <c r="A4" s="20" t="s">
        <v>360</v>
      </c>
      <c r="B4" s="20" t="s">
        <v>361</v>
      </c>
      <c r="C4" s="20" t="s">
        <v>362</v>
      </c>
      <c r="D4" s="20" t="s">
        <v>363</v>
      </c>
    </row>
    <row r="5" spans="1:4">
      <c r="A5" s="20" t="s">
        <v>364</v>
      </c>
      <c r="B5" s="20" t="s">
        <v>365</v>
      </c>
      <c r="C5" s="20" t="s">
        <v>366</v>
      </c>
      <c r="D5" s="20" t="s">
        <v>367</v>
      </c>
    </row>
    <row r="6" spans="1:4">
      <c r="A6" s="20" t="s">
        <v>368</v>
      </c>
      <c r="B6" s="20" t="s">
        <v>369</v>
      </c>
      <c r="C6" s="20" t="s">
        <v>370</v>
      </c>
      <c r="D6" s="20" t="s">
        <v>371</v>
      </c>
    </row>
    <row r="7" spans="1:4">
      <c r="A7" s="20"/>
      <c r="B7" s="20"/>
      <c r="C7" s="20"/>
      <c r="D7" s="20"/>
    </row>
    <row r="8" spans="1:4" ht="15">
      <c r="A8" s="22" t="s">
        <v>372</v>
      </c>
      <c r="B8" s="22" t="s">
        <v>271</v>
      </c>
      <c r="C8" s="22" t="s">
        <v>373</v>
      </c>
      <c r="D8" s="22" t="s">
        <v>374</v>
      </c>
    </row>
    <row r="9" spans="1:4">
      <c r="A9" s="20" t="s">
        <v>375</v>
      </c>
      <c r="B9" s="20" t="s">
        <v>376</v>
      </c>
      <c r="C9" s="20" t="s">
        <v>377</v>
      </c>
      <c r="D9" s="20" t="s">
        <v>378</v>
      </c>
    </row>
    <row r="10" spans="1:4">
      <c r="A10" s="20" t="s">
        <v>379</v>
      </c>
      <c r="B10" s="20" t="s">
        <v>380</v>
      </c>
      <c r="C10" s="20" t="s">
        <v>381</v>
      </c>
      <c r="D10" s="20" t="s">
        <v>382</v>
      </c>
    </row>
    <row r="11" spans="1:4">
      <c r="A11" s="20" t="s">
        <v>383</v>
      </c>
      <c r="B11" s="20" t="s">
        <v>384</v>
      </c>
      <c r="C11" s="20" t="s">
        <v>385</v>
      </c>
      <c r="D11" s="20" t="s">
        <v>386</v>
      </c>
    </row>
    <row r="12" spans="1:4">
      <c r="A12" s="20" t="s">
        <v>387</v>
      </c>
      <c r="B12" s="20" t="s">
        <v>388</v>
      </c>
      <c r="C12" s="20" t="s">
        <v>389</v>
      </c>
      <c r="D12" s="20" t="s">
        <v>390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4.25"/>
  <cols>
    <col min="1" max="1" width="30" customWidth="1"/>
    <col min="2" max="2" width="48" customWidth="1"/>
    <col min="3" max="3" width="60" customWidth="1"/>
    <col min="4" max="4" width="42" customWidth="1"/>
    <col min="5" max="5" width="20" customWidth="1"/>
  </cols>
  <sheetData>
    <row r="1" spans="1:5" ht="15">
      <c r="A1" s="27" t="s">
        <v>391</v>
      </c>
      <c r="B1" s="27" t="s">
        <v>392</v>
      </c>
      <c r="C1" s="27" t="s">
        <v>393</v>
      </c>
      <c r="D1" s="27" t="s">
        <v>394</v>
      </c>
      <c r="E1" s="22" t="s">
        <v>395</v>
      </c>
    </row>
    <row r="2" spans="1:5">
      <c r="A2" s="20" t="s">
        <v>396</v>
      </c>
      <c r="B2" s="20" t="s">
        <v>397</v>
      </c>
      <c r="C2" s="20" t="s">
        <v>398</v>
      </c>
      <c r="D2" s="20" t="s">
        <v>399</v>
      </c>
      <c r="E2" s="20" t="s">
        <v>400</v>
      </c>
    </row>
    <row r="3" spans="1:5">
      <c r="A3" s="20" t="s">
        <v>401</v>
      </c>
      <c r="B3" s="20" t="s">
        <v>402</v>
      </c>
      <c r="C3" s="20" t="s">
        <v>403</v>
      </c>
      <c r="D3" s="20" t="s">
        <v>404</v>
      </c>
      <c r="E3" s="20" t="s">
        <v>405</v>
      </c>
    </row>
    <row r="4" spans="1:5">
      <c r="A4" s="20" t="s">
        <v>406</v>
      </c>
      <c r="B4" s="20" t="s">
        <v>407</v>
      </c>
      <c r="C4" s="20" t="s">
        <v>408</v>
      </c>
      <c r="D4" s="20" t="s">
        <v>409</v>
      </c>
      <c r="E4" s="20" t="s">
        <v>405</v>
      </c>
    </row>
    <row r="5" spans="1:5">
      <c r="A5" s="20" t="s">
        <v>410</v>
      </c>
      <c r="B5" s="20" t="s">
        <v>411</v>
      </c>
      <c r="C5" s="20" t="s">
        <v>412</v>
      </c>
      <c r="D5" s="20" t="s">
        <v>413</v>
      </c>
      <c r="E5" s="20" t="s">
        <v>414</v>
      </c>
    </row>
    <row r="6" spans="1:5">
      <c r="A6" s="20" t="s">
        <v>415</v>
      </c>
      <c r="B6" s="20" t="s">
        <v>416</v>
      </c>
      <c r="C6" s="20" t="s">
        <v>417</v>
      </c>
      <c r="D6" s="20" t="s">
        <v>418</v>
      </c>
      <c r="E6" s="20" t="s">
        <v>414</v>
      </c>
    </row>
    <row r="7" spans="1:5">
      <c r="A7" s="20" t="s">
        <v>419</v>
      </c>
      <c r="B7" s="20" t="s">
        <v>420</v>
      </c>
      <c r="C7" s="20" t="s">
        <v>421</v>
      </c>
      <c r="D7" s="20" t="s">
        <v>422</v>
      </c>
      <c r="E7" s="20" t="s">
        <v>414</v>
      </c>
    </row>
    <row r="8" spans="1:5">
      <c r="A8" s="20" t="s">
        <v>423</v>
      </c>
      <c r="B8" s="20" t="s">
        <v>424</v>
      </c>
      <c r="C8" s="20" t="s">
        <v>425</v>
      </c>
      <c r="D8" s="20" t="s">
        <v>426</v>
      </c>
      <c r="E8" s="20" t="s">
        <v>405</v>
      </c>
    </row>
    <row r="9" spans="1:5">
      <c r="A9" s="20" t="s">
        <v>427</v>
      </c>
      <c r="B9" s="20" t="s">
        <v>428</v>
      </c>
      <c r="C9" s="20" t="s">
        <v>429</v>
      </c>
      <c r="D9" s="20" t="s">
        <v>430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7"/>
  <sheetViews>
    <sheetView topLeftCell="A31" workbookViewId="0">
      <selection activeCell="F62" sqref="F62"/>
    </sheetView>
  </sheetViews>
  <sheetFormatPr defaultRowHeight="14.25"/>
  <cols>
    <col min="1" max="2" width="10" customWidth="1"/>
    <col min="3" max="3" width="12" customWidth="1"/>
    <col min="4" max="7" width="18" customWidth="1"/>
    <col min="8" max="8" width="16" customWidth="1"/>
    <col min="9" max="10" width="12" customWidth="1"/>
    <col min="11" max="15" width="16" customWidth="1"/>
    <col min="16" max="16" width="18" customWidth="1"/>
    <col min="17" max="17" width="16" customWidth="1"/>
    <col min="18" max="18" width="55" customWidth="1"/>
  </cols>
  <sheetData>
    <row r="1" spans="1:18" ht="30">
      <c r="A1" s="23" t="s">
        <v>172</v>
      </c>
      <c r="B1" s="23" t="s">
        <v>431</v>
      </c>
      <c r="C1" s="23" t="s">
        <v>432</v>
      </c>
      <c r="D1" s="23" t="s">
        <v>173</v>
      </c>
      <c r="E1" s="23" t="s">
        <v>125</v>
      </c>
      <c r="F1" s="24" t="s">
        <v>174</v>
      </c>
      <c r="G1" s="24" t="s">
        <v>175</v>
      </c>
      <c r="H1" s="25" t="s">
        <v>189</v>
      </c>
      <c r="I1" s="25" t="s">
        <v>191</v>
      </c>
      <c r="J1" s="25" t="s">
        <v>192</v>
      </c>
      <c r="K1" s="24" t="s">
        <v>193</v>
      </c>
      <c r="L1" s="24" t="s">
        <v>194</v>
      </c>
      <c r="M1" s="24" t="s">
        <v>195</v>
      </c>
      <c r="N1" s="24" t="s">
        <v>196</v>
      </c>
      <c r="O1" s="24" t="s">
        <v>197</v>
      </c>
      <c r="P1" s="24" t="s">
        <v>198</v>
      </c>
      <c r="Q1" s="23" t="s">
        <v>199</v>
      </c>
      <c r="R1" s="23" t="s">
        <v>129</v>
      </c>
    </row>
    <row r="2" spans="1:18">
      <c r="A2" s="20">
        <v>2021</v>
      </c>
      <c r="B2" s="20">
        <v>1</v>
      </c>
      <c r="C2" s="20" t="s">
        <v>433</v>
      </c>
      <c r="D2" s="20" t="s">
        <v>178</v>
      </c>
      <c r="E2" s="20" t="s">
        <v>434</v>
      </c>
      <c r="F2" s="20">
        <v>3754077726.5</v>
      </c>
      <c r="G2" s="20">
        <v>1952120417.75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 t="s">
        <v>435</v>
      </c>
      <c r="R2" s="20" t="s">
        <v>436</v>
      </c>
    </row>
    <row r="3" spans="1:18">
      <c r="A3" s="20">
        <v>2021</v>
      </c>
      <c r="B3" s="20">
        <v>2</v>
      </c>
      <c r="C3" s="20" t="s">
        <v>437</v>
      </c>
      <c r="D3" s="20" t="s">
        <v>178</v>
      </c>
      <c r="E3" s="20" t="s">
        <v>434</v>
      </c>
      <c r="F3" s="20">
        <v>3754077726.5</v>
      </c>
      <c r="G3" s="20">
        <v>1952120417.75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 t="s">
        <v>435</v>
      </c>
      <c r="R3" s="20" t="s">
        <v>436</v>
      </c>
    </row>
    <row r="4" spans="1:18">
      <c r="A4" s="20">
        <v>2021</v>
      </c>
      <c r="B4" s="20">
        <v>3</v>
      </c>
      <c r="C4" s="20" t="s">
        <v>438</v>
      </c>
      <c r="D4" s="20" t="s">
        <v>178</v>
      </c>
      <c r="E4" s="20" t="s">
        <v>434</v>
      </c>
      <c r="F4" s="20">
        <v>3754077726.5</v>
      </c>
      <c r="G4" s="20">
        <v>1952120417.75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 t="s">
        <v>435</v>
      </c>
      <c r="R4" s="20" t="s">
        <v>436</v>
      </c>
    </row>
    <row r="5" spans="1:18">
      <c r="A5" s="20">
        <v>2021</v>
      </c>
      <c r="B5" s="20">
        <v>4</v>
      </c>
      <c r="C5" s="20" t="s">
        <v>439</v>
      </c>
      <c r="D5" s="20" t="s">
        <v>178</v>
      </c>
      <c r="E5" s="20" t="s">
        <v>434</v>
      </c>
      <c r="F5" s="20">
        <v>3754077726.5</v>
      </c>
      <c r="G5" s="20">
        <v>1952120417.75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 t="s">
        <v>435</v>
      </c>
      <c r="R5" s="20" t="s">
        <v>436</v>
      </c>
    </row>
    <row r="6" spans="1:18">
      <c r="A6" s="20">
        <v>2021</v>
      </c>
      <c r="B6" s="20">
        <v>5</v>
      </c>
      <c r="C6" s="20" t="s">
        <v>440</v>
      </c>
      <c r="D6" s="20" t="s">
        <v>178</v>
      </c>
      <c r="E6" s="20" t="s">
        <v>434</v>
      </c>
      <c r="F6" s="20">
        <v>3754077726.5</v>
      </c>
      <c r="G6" s="20">
        <v>1952120417.75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 t="s">
        <v>435</v>
      </c>
      <c r="R6" s="20" t="s">
        <v>436</v>
      </c>
    </row>
    <row r="7" spans="1:18">
      <c r="A7" s="20">
        <v>2021</v>
      </c>
      <c r="B7" s="20">
        <v>6</v>
      </c>
      <c r="C7" s="20" t="s">
        <v>441</v>
      </c>
      <c r="D7" s="20" t="s">
        <v>178</v>
      </c>
      <c r="E7" s="20" t="s">
        <v>434</v>
      </c>
      <c r="F7" s="20">
        <v>3754077726.5</v>
      </c>
      <c r="G7" s="20">
        <v>1952120417.75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 t="s">
        <v>435</v>
      </c>
      <c r="R7" s="20" t="s">
        <v>436</v>
      </c>
    </row>
    <row r="8" spans="1:18">
      <c r="A8" s="20">
        <v>2021</v>
      </c>
      <c r="B8" s="20">
        <v>7</v>
      </c>
      <c r="C8" s="20" t="s">
        <v>442</v>
      </c>
      <c r="D8" s="20" t="s">
        <v>178</v>
      </c>
      <c r="E8" s="20" t="s">
        <v>434</v>
      </c>
      <c r="F8" s="20">
        <v>3754077726.5</v>
      </c>
      <c r="G8" s="20">
        <v>1952120417.75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 t="s">
        <v>435</v>
      </c>
      <c r="R8" s="20" t="s">
        <v>436</v>
      </c>
    </row>
    <row r="9" spans="1:18">
      <c r="A9" s="20">
        <v>2021</v>
      </c>
      <c r="B9" s="20">
        <v>8</v>
      </c>
      <c r="C9" s="20" t="s">
        <v>443</v>
      </c>
      <c r="D9" s="20" t="s">
        <v>178</v>
      </c>
      <c r="E9" s="20" t="s">
        <v>434</v>
      </c>
      <c r="F9" s="20">
        <v>3754077726.5</v>
      </c>
      <c r="G9" s="20">
        <v>1952120417.75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 t="s">
        <v>435</v>
      </c>
      <c r="R9" s="20" t="s">
        <v>436</v>
      </c>
    </row>
    <row r="10" spans="1:18">
      <c r="A10" s="20">
        <v>2021</v>
      </c>
      <c r="B10" s="20">
        <v>9</v>
      </c>
      <c r="C10" s="20" t="s">
        <v>444</v>
      </c>
      <c r="D10" s="20" t="s">
        <v>178</v>
      </c>
      <c r="E10" s="20" t="s">
        <v>434</v>
      </c>
      <c r="F10" s="20">
        <v>3754077726.5</v>
      </c>
      <c r="G10" s="20">
        <v>1952120417.75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 t="s">
        <v>435</v>
      </c>
      <c r="R10" s="20" t="s">
        <v>436</v>
      </c>
    </row>
    <row r="11" spans="1:18">
      <c r="A11" s="20">
        <v>2021</v>
      </c>
      <c r="B11" s="20">
        <v>10</v>
      </c>
      <c r="C11" s="20" t="s">
        <v>445</v>
      </c>
      <c r="D11" s="20" t="s">
        <v>178</v>
      </c>
      <c r="E11" s="20" t="s">
        <v>434</v>
      </c>
      <c r="F11" s="20">
        <v>3754077726.5</v>
      </c>
      <c r="G11" s="20">
        <v>1952120417.75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 t="s">
        <v>435</v>
      </c>
      <c r="R11" s="20" t="s">
        <v>436</v>
      </c>
    </row>
    <row r="12" spans="1:18">
      <c r="A12" s="20">
        <v>2021</v>
      </c>
      <c r="B12" s="20">
        <v>11</v>
      </c>
      <c r="C12" s="20" t="s">
        <v>446</v>
      </c>
      <c r="D12" s="20" t="s">
        <v>178</v>
      </c>
      <c r="E12" s="20" t="s">
        <v>434</v>
      </c>
      <c r="F12" s="20">
        <v>3754077726.5</v>
      </c>
      <c r="G12" s="20">
        <v>1952120417.75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 t="s">
        <v>435</v>
      </c>
      <c r="R12" s="20" t="s">
        <v>436</v>
      </c>
    </row>
    <row r="13" spans="1:18">
      <c r="A13" s="20">
        <v>2021</v>
      </c>
      <c r="B13" s="20">
        <v>12</v>
      </c>
      <c r="C13" s="20" t="s">
        <v>447</v>
      </c>
      <c r="D13" s="20" t="s">
        <v>178</v>
      </c>
      <c r="E13" s="20" t="s">
        <v>434</v>
      </c>
      <c r="F13" s="20">
        <v>3754077726.5</v>
      </c>
      <c r="G13" s="20">
        <v>1952120417.75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 t="s">
        <v>435</v>
      </c>
      <c r="R13" s="20" t="s">
        <v>436</v>
      </c>
    </row>
    <row r="14" spans="1:18">
      <c r="A14" s="20">
        <v>2022</v>
      </c>
      <c r="B14" s="20">
        <v>1</v>
      </c>
      <c r="C14" s="20" t="s">
        <v>433</v>
      </c>
      <c r="D14" s="20" t="s">
        <v>178</v>
      </c>
      <c r="E14" s="20" t="s">
        <v>434</v>
      </c>
      <c r="F14" s="20">
        <v>4258333333.3333335</v>
      </c>
      <c r="G14" s="20">
        <v>2250000000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 t="s">
        <v>435</v>
      </c>
      <c r="R14" s="20" t="s">
        <v>436</v>
      </c>
    </row>
    <row r="15" spans="1:18">
      <c r="A15" s="20">
        <v>2022</v>
      </c>
      <c r="B15" s="20">
        <v>2</v>
      </c>
      <c r="C15" s="20" t="s">
        <v>437</v>
      </c>
      <c r="D15" s="20" t="s">
        <v>178</v>
      </c>
      <c r="E15" s="20" t="s">
        <v>434</v>
      </c>
      <c r="F15" s="20">
        <v>4258333333.3333335</v>
      </c>
      <c r="G15" s="20">
        <v>2250000000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 t="s">
        <v>435</v>
      </c>
      <c r="R15" s="20" t="s">
        <v>436</v>
      </c>
    </row>
    <row r="16" spans="1:18">
      <c r="A16" s="20">
        <v>2022</v>
      </c>
      <c r="B16" s="20">
        <v>3</v>
      </c>
      <c r="C16" s="20" t="s">
        <v>438</v>
      </c>
      <c r="D16" s="20" t="s">
        <v>178</v>
      </c>
      <c r="E16" s="20" t="s">
        <v>434</v>
      </c>
      <c r="F16" s="20">
        <v>4258333333.3333335</v>
      </c>
      <c r="G16" s="20">
        <v>2250000000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 t="s">
        <v>435</v>
      </c>
      <c r="R16" s="20" t="s">
        <v>436</v>
      </c>
    </row>
    <row r="17" spans="1:18">
      <c r="A17" s="20">
        <v>2022</v>
      </c>
      <c r="B17" s="20">
        <v>4</v>
      </c>
      <c r="C17" s="20" t="s">
        <v>439</v>
      </c>
      <c r="D17" s="20" t="s">
        <v>178</v>
      </c>
      <c r="E17" s="20" t="s">
        <v>434</v>
      </c>
      <c r="F17" s="20">
        <v>4258333333.3333335</v>
      </c>
      <c r="G17" s="20">
        <v>2250000000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 t="s">
        <v>435</v>
      </c>
      <c r="R17" s="20" t="s">
        <v>436</v>
      </c>
    </row>
    <row r="18" spans="1:18">
      <c r="A18" s="20">
        <v>2022</v>
      </c>
      <c r="B18" s="20">
        <v>5</v>
      </c>
      <c r="C18" s="20" t="s">
        <v>440</v>
      </c>
      <c r="D18" s="20" t="s">
        <v>178</v>
      </c>
      <c r="E18" s="20" t="s">
        <v>434</v>
      </c>
      <c r="F18" s="20">
        <v>4258333333.3333335</v>
      </c>
      <c r="G18" s="20">
        <v>2250000000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 t="s">
        <v>435</v>
      </c>
      <c r="R18" s="20" t="s">
        <v>436</v>
      </c>
    </row>
    <row r="19" spans="1:18">
      <c r="A19" s="20">
        <v>2022</v>
      </c>
      <c r="B19" s="20">
        <v>6</v>
      </c>
      <c r="C19" s="20" t="s">
        <v>441</v>
      </c>
      <c r="D19" s="20" t="s">
        <v>178</v>
      </c>
      <c r="E19" s="20" t="s">
        <v>434</v>
      </c>
      <c r="F19" s="20">
        <v>4258333333.3333335</v>
      </c>
      <c r="G19" s="20">
        <v>2250000000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 t="s">
        <v>435</v>
      </c>
      <c r="R19" s="20" t="s">
        <v>436</v>
      </c>
    </row>
    <row r="20" spans="1:18">
      <c r="A20" s="20">
        <v>2022</v>
      </c>
      <c r="B20" s="20">
        <v>7</v>
      </c>
      <c r="C20" s="20" t="s">
        <v>442</v>
      </c>
      <c r="D20" s="20" t="s">
        <v>178</v>
      </c>
      <c r="E20" s="20" t="s">
        <v>434</v>
      </c>
      <c r="F20" s="20">
        <v>4258333333.3333335</v>
      </c>
      <c r="G20" s="20">
        <v>2250000000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 t="s">
        <v>435</v>
      </c>
      <c r="R20" s="20" t="s">
        <v>436</v>
      </c>
    </row>
    <row r="21" spans="1:18">
      <c r="A21" s="20">
        <v>2022</v>
      </c>
      <c r="B21" s="20">
        <v>8</v>
      </c>
      <c r="C21" s="20" t="s">
        <v>443</v>
      </c>
      <c r="D21" s="20" t="s">
        <v>178</v>
      </c>
      <c r="E21" s="20" t="s">
        <v>434</v>
      </c>
      <c r="F21" s="20">
        <v>4258333333.3333335</v>
      </c>
      <c r="G21" s="20">
        <v>2250000000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 t="s">
        <v>435</v>
      </c>
      <c r="R21" s="20" t="s">
        <v>436</v>
      </c>
    </row>
    <row r="22" spans="1:18">
      <c r="A22" s="20">
        <v>2022</v>
      </c>
      <c r="B22" s="20">
        <v>9</v>
      </c>
      <c r="C22" s="20" t="s">
        <v>444</v>
      </c>
      <c r="D22" s="20" t="s">
        <v>178</v>
      </c>
      <c r="E22" s="20" t="s">
        <v>434</v>
      </c>
      <c r="F22" s="20">
        <v>4258333333.3333335</v>
      </c>
      <c r="G22" s="20">
        <v>2250000000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 t="s">
        <v>435</v>
      </c>
      <c r="R22" s="20" t="s">
        <v>436</v>
      </c>
    </row>
    <row r="23" spans="1:18">
      <c r="A23" s="20">
        <v>2022</v>
      </c>
      <c r="B23" s="20">
        <v>10</v>
      </c>
      <c r="C23" s="20" t="s">
        <v>445</v>
      </c>
      <c r="D23" s="20" t="s">
        <v>178</v>
      </c>
      <c r="E23" s="20" t="s">
        <v>434</v>
      </c>
      <c r="F23" s="20">
        <v>4258333333.3333335</v>
      </c>
      <c r="G23" s="20">
        <v>2250000000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 t="s">
        <v>435</v>
      </c>
      <c r="R23" s="20" t="s">
        <v>436</v>
      </c>
    </row>
    <row r="24" spans="1:18">
      <c r="A24" s="20">
        <v>2022</v>
      </c>
      <c r="B24" s="20">
        <v>11</v>
      </c>
      <c r="C24" s="20" t="s">
        <v>446</v>
      </c>
      <c r="D24" s="20" t="s">
        <v>178</v>
      </c>
      <c r="E24" s="20" t="s">
        <v>434</v>
      </c>
      <c r="F24" s="20">
        <v>4258333333.3333335</v>
      </c>
      <c r="G24" s="20">
        <v>2250000000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 t="s">
        <v>435</v>
      </c>
      <c r="R24" s="20" t="s">
        <v>436</v>
      </c>
    </row>
    <row r="25" spans="1:18">
      <c r="A25" s="20">
        <v>2022</v>
      </c>
      <c r="B25" s="20">
        <v>12</v>
      </c>
      <c r="C25" s="20" t="s">
        <v>447</v>
      </c>
      <c r="D25" s="20" t="s">
        <v>178</v>
      </c>
      <c r="E25" s="20" t="s">
        <v>434</v>
      </c>
      <c r="F25" s="20">
        <v>4258333333.3333335</v>
      </c>
      <c r="G25" s="20">
        <v>2250000000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 t="s">
        <v>435</v>
      </c>
      <c r="R25" s="20" t="s">
        <v>436</v>
      </c>
    </row>
    <row r="26" spans="1:18">
      <c r="A26" s="20">
        <v>2023</v>
      </c>
      <c r="B26" s="20">
        <v>1</v>
      </c>
      <c r="C26" s="20" t="s">
        <v>433</v>
      </c>
      <c r="D26" s="20" t="s">
        <v>178</v>
      </c>
      <c r="E26" s="20" t="s">
        <v>434</v>
      </c>
      <c r="F26" s="20">
        <v>4895833333.333333</v>
      </c>
      <c r="G26" s="20">
        <v>2708333333.3333335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 t="s">
        <v>435</v>
      </c>
      <c r="R26" s="20" t="s">
        <v>436</v>
      </c>
    </row>
    <row r="27" spans="1:18">
      <c r="A27" s="20">
        <v>2023</v>
      </c>
      <c r="B27" s="20">
        <v>2</v>
      </c>
      <c r="C27" s="20" t="s">
        <v>437</v>
      </c>
      <c r="D27" s="20" t="s">
        <v>178</v>
      </c>
      <c r="E27" s="20" t="s">
        <v>434</v>
      </c>
      <c r="F27" s="20">
        <v>4895833333.333333</v>
      </c>
      <c r="G27" s="20">
        <v>2708333333.3333335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 t="s">
        <v>435</v>
      </c>
      <c r="R27" s="20" t="s">
        <v>436</v>
      </c>
    </row>
    <row r="28" spans="1:18">
      <c r="A28" s="20">
        <v>2023</v>
      </c>
      <c r="B28" s="20">
        <v>3</v>
      </c>
      <c r="C28" s="20" t="s">
        <v>438</v>
      </c>
      <c r="D28" s="20" t="s">
        <v>178</v>
      </c>
      <c r="E28" s="20" t="s">
        <v>434</v>
      </c>
      <c r="F28" s="20">
        <v>4895833333.333333</v>
      </c>
      <c r="G28" s="20">
        <v>2708333333.3333335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 t="s">
        <v>435</v>
      </c>
      <c r="R28" s="20" t="s">
        <v>436</v>
      </c>
    </row>
    <row r="29" spans="1:18">
      <c r="A29" s="20">
        <v>2023</v>
      </c>
      <c r="B29" s="20">
        <v>4</v>
      </c>
      <c r="C29" s="20" t="s">
        <v>439</v>
      </c>
      <c r="D29" s="20" t="s">
        <v>178</v>
      </c>
      <c r="E29" s="20" t="s">
        <v>434</v>
      </c>
      <c r="F29" s="20">
        <v>4895833333.333333</v>
      </c>
      <c r="G29" s="20">
        <v>2708333333.3333335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 t="s">
        <v>435</v>
      </c>
      <c r="R29" s="20" t="s">
        <v>436</v>
      </c>
    </row>
    <row r="30" spans="1:18">
      <c r="A30" s="20">
        <v>2023</v>
      </c>
      <c r="B30" s="20">
        <v>5</v>
      </c>
      <c r="C30" s="20" t="s">
        <v>440</v>
      </c>
      <c r="D30" s="20" t="s">
        <v>178</v>
      </c>
      <c r="E30" s="20" t="s">
        <v>434</v>
      </c>
      <c r="F30" s="20">
        <v>4895833333.333333</v>
      </c>
      <c r="G30" s="20">
        <v>2708333333.3333335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 t="s">
        <v>435</v>
      </c>
      <c r="R30" s="20" t="s">
        <v>436</v>
      </c>
    </row>
    <row r="31" spans="1:18">
      <c r="A31" s="20">
        <v>2023</v>
      </c>
      <c r="B31" s="20">
        <v>6</v>
      </c>
      <c r="C31" s="20" t="s">
        <v>441</v>
      </c>
      <c r="D31" s="20" t="s">
        <v>178</v>
      </c>
      <c r="E31" s="20" t="s">
        <v>434</v>
      </c>
      <c r="F31" s="20">
        <v>4895833333.333333</v>
      </c>
      <c r="G31" s="20">
        <v>2708333333.3333335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 t="s">
        <v>435</v>
      </c>
      <c r="R31" s="20" t="s">
        <v>436</v>
      </c>
    </row>
    <row r="32" spans="1:18">
      <c r="A32" s="20">
        <v>2023</v>
      </c>
      <c r="B32" s="20">
        <v>7</v>
      </c>
      <c r="C32" s="20" t="s">
        <v>442</v>
      </c>
      <c r="D32" s="20" t="s">
        <v>178</v>
      </c>
      <c r="E32" s="20" t="s">
        <v>434</v>
      </c>
      <c r="F32" s="20">
        <v>4895833333.333333</v>
      </c>
      <c r="G32" s="20">
        <v>2708333333.3333335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 t="s">
        <v>435</v>
      </c>
      <c r="R32" s="20" t="s">
        <v>436</v>
      </c>
    </row>
    <row r="33" spans="1:18">
      <c r="A33" s="20">
        <v>2023</v>
      </c>
      <c r="B33" s="20">
        <v>8</v>
      </c>
      <c r="C33" s="20" t="s">
        <v>443</v>
      </c>
      <c r="D33" s="20" t="s">
        <v>178</v>
      </c>
      <c r="E33" s="20" t="s">
        <v>434</v>
      </c>
      <c r="F33" s="20">
        <v>4895833333.333333</v>
      </c>
      <c r="G33" s="20">
        <v>2708333333.3333335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 t="s">
        <v>435</v>
      </c>
      <c r="R33" s="20" t="s">
        <v>436</v>
      </c>
    </row>
    <row r="34" spans="1:18">
      <c r="A34" s="20">
        <v>2023</v>
      </c>
      <c r="B34" s="20">
        <v>9</v>
      </c>
      <c r="C34" s="20" t="s">
        <v>444</v>
      </c>
      <c r="D34" s="20" t="s">
        <v>178</v>
      </c>
      <c r="E34" s="20" t="s">
        <v>434</v>
      </c>
      <c r="F34" s="20">
        <v>4895833333.333333</v>
      </c>
      <c r="G34" s="20">
        <v>2708333333.3333335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 t="s">
        <v>435</v>
      </c>
      <c r="R34" s="20" t="s">
        <v>436</v>
      </c>
    </row>
    <row r="35" spans="1:18">
      <c r="A35" s="20">
        <v>2023</v>
      </c>
      <c r="B35" s="20">
        <v>10</v>
      </c>
      <c r="C35" s="20" t="s">
        <v>445</v>
      </c>
      <c r="D35" s="20" t="s">
        <v>178</v>
      </c>
      <c r="E35" s="20" t="s">
        <v>434</v>
      </c>
      <c r="F35" s="20">
        <v>4895833333.333333</v>
      </c>
      <c r="G35" s="20">
        <v>2708333333.3333335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 t="s">
        <v>435</v>
      </c>
      <c r="R35" s="20" t="s">
        <v>436</v>
      </c>
    </row>
    <row r="36" spans="1:18">
      <c r="A36" s="20">
        <v>2023</v>
      </c>
      <c r="B36" s="20">
        <v>11</v>
      </c>
      <c r="C36" s="20" t="s">
        <v>446</v>
      </c>
      <c r="D36" s="20" t="s">
        <v>178</v>
      </c>
      <c r="E36" s="20" t="s">
        <v>434</v>
      </c>
      <c r="F36" s="20">
        <v>4895833333.333333</v>
      </c>
      <c r="G36" s="20">
        <v>2708333333.3333335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 t="s">
        <v>435</v>
      </c>
      <c r="R36" s="20" t="s">
        <v>436</v>
      </c>
    </row>
    <row r="37" spans="1:18">
      <c r="A37" s="20">
        <v>2023</v>
      </c>
      <c r="B37" s="20">
        <v>12</v>
      </c>
      <c r="C37" s="20" t="s">
        <v>447</v>
      </c>
      <c r="D37" s="20" t="s">
        <v>178</v>
      </c>
      <c r="E37" s="20" t="s">
        <v>434</v>
      </c>
      <c r="F37" s="20">
        <v>4895833333.333333</v>
      </c>
      <c r="G37" s="20">
        <v>2708333333.3333335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 t="s">
        <v>435</v>
      </c>
      <c r="R37" s="20" t="s">
        <v>436</v>
      </c>
    </row>
    <row r="38" spans="1:18">
      <c r="A38" s="20">
        <v>2024</v>
      </c>
      <c r="B38" s="20">
        <v>1</v>
      </c>
      <c r="C38" s="20" t="s">
        <v>433</v>
      </c>
      <c r="D38" s="20" t="s">
        <v>178</v>
      </c>
      <c r="E38" s="20" t="s">
        <v>434</v>
      </c>
      <c r="F38" s="20">
        <v>5225000000</v>
      </c>
      <c r="G38" s="20">
        <v>2916666666.6666665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 t="s">
        <v>435</v>
      </c>
      <c r="R38" s="20" t="s">
        <v>436</v>
      </c>
    </row>
    <row r="39" spans="1:18">
      <c r="A39" s="20">
        <v>2024</v>
      </c>
      <c r="B39" s="20">
        <v>2</v>
      </c>
      <c r="C39" s="20" t="s">
        <v>437</v>
      </c>
      <c r="D39" s="20" t="s">
        <v>178</v>
      </c>
      <c r="E39" s="20" t="s">
        <v>434</v>
      </c>
      <c r="F39" s="20">
        <v>5225000000</v>
      </c>
      <c r="G39" s="20">
        <v>2916666666.6666665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 t="s">
        <v>435</v>
      </c>
      <c r="R39" s="20" t="s">
        <v>436</v>
      </c>
    </row>
    <row r="40" spans="1:18">
      <c r="A40" s="20">
        <v>2024</v>
      </c>
      <c r="B40" s="20">
        <v>3</v>
      </c>
      <c r="C40" s="20" t="s">
        <v>438</v>
      </c>
      <c r="D40" s="20" t="s">
        <v>178</v>
      </c>
      <c r="E40" s="20" t="s">
        <v>434</v>
      </c>
      <c r="F40" s="20">
        <v>5225000000</v>
      </c>
      <c r="G40" s="20">
        <v>2916666666.6666665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 t="s">
        <v>435</v>
      </c>
      <c r="R40" s="20" t="s">
        <v>436</v>
      </c>
    </row>
    <row r="41" spans="1:18">
      <c r="A41" s="20">
        <v>2024</v>
      </c>
      <c r="B41" s="20">
        <v>4</v>
      </c>
      <c r="C41" s="20" t="s">
        <v>439</v>
      </c>
      <c r="D41" s="20" t="s">
        <v>178</v>
      </c>
      <c r="E41" s="20" t="s">
        <v>434</v>
      </c>
      <c r="F41" s="20">
        <v>5225000000</v>
      </c>
      <c r="G41" s="20">
        <v>2916666666.6666665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 t="s">
        <v>435</v>
      </c>
      <c r="R41" s="20" t="s">
        <v>436</v>
      </c>
    </row>
    <row r="42" spans="1:18">
      <c r="A42" s="20">
        <v>2024</v>
      </c>
      <c r="B42" s="20">
        <v>5</v>
      </c>
      <c r="C42" s="20" t="s">
        <v>440</v>
      </c>
      <c r="D42" s="20" t="s">
        <v>178</v>
      </c>
      <c r="E42" s="20" t="s">
        <v>434</v>
      </c>
      <c r="F42" s="20">
        <v>5225000000</v>
      </c>
      <c r="G42" s="20">
        <v>2916666666.6666665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 t="s">
        <v>435</v>
      </c>
      <c r="R42" s="20" t="s">
        <v>436</v>
      </c>
    </row>
    <row r="43" spans="1:18">
      <c r="A43" s="20">
        <v>2024</v>
      </c>
      <c r="B43" s="20">
        <v>6</v>
      </c>
      <c r="C43" s="20" t="s">
        <v>441</v>
      </c>
      <c r="D43" s="20" t="s">
        <v>178</v>
      </c>
      <c r="E43" s="20" t="s">
        <v>434</v>
      </c>
      <c r="F43" s="20">
        <v>5225000000</v>
      </c>
      <c r="G43" s="20">
        <v>2916666666.6666665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 t="s">
        <v>435</v>
      </c>
      <c r="R43" s="20" t="s">
        <v>436</v>
      </c>
    </row>
    <row r="44" spans="1:18">
      <c r="A44" s="20">
        <v>2024</v>
      </c>
      <c r="B44" s="20">
        <v>7</v>
      </c>
      <c r="C44" s="20" t="s">
        <v>442</v>
      </c>
      <c r="D44" s="20" t="s">
        <v>178</v>
      </c>
      <c r="E44" s="20" t="s">
        <v>434</v>
      </c>
      <c r="F44" s="20">
        <v>5225000000</v>
      </c>
      <c r="G44" s="20">
        <v>2916666666.6666665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 t="s">
        <v>435</v>
      </c>
      <c r="R44" s="20" t="s">
        <v>436</v>
      </c>
    </row>
    <row r="45" spans="1:18">
      <c r="A45" s="20">
        <v>2024</v>
      </c>
      <c r="B45" s="20">
        <v>8</v>
      </c>
      <c r="C45" s="20" t="s">
        <v>443</v>
      </c>
      <c r="D45" s="20" t="s">
        <v>178</v>
      </c>
      <c r="E45" s="20" t="s">
        <v>434</v>
      </c>
      <c r="F45" s="20">
        <v>5225000000</v>
      </c>
      <c r="G45" s="20">
        <v>2916666666.6666665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 t="s">
        <v>435</v>
      </c>
      <c r="R45" s="20" t="s">
        <v>436</v>
      </c>
    </row>
    <row r="46" spans="1:18">
      <c r="A46" s="20">
        <v>2024</v>
      </c>
      <c r="B46" s="20">
        <v>9</v>
      </c>
      <c r="C46" s="20" t="s">
        <v>444</v>
      </c>
      <c r="D46" s="20" t="s">
        <v>178</v>
      </c>
      <c r="E46" s="20" t="s">
        <v>434</v>
      </c>
      <c r="F46" s="20">
        <v>5225000000</v>
      </c>
      <c r="G46" s="20">
        <v>2916666666.6666665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 t="s">
        <v>435</v>
      </c>
      <c r="R46" s="20" t="s">
        <v>436</v>
      </c>
    </row>
    <row r="47" spans="1:18">
      <c r="A47" s="20">
        <v>2024</v>
      </c>
      <c r="B47" s="20">
        <v>10</v>
      </c>
      <c r="C47" s="20" t="s">
        <v>445</v>
      </c>
      <c r="D47" s="20" t="s">
        <v>178</v>
      </c>
      <c r="E47" s="20" t="s">
        <v>434</v>
      </c>
      <c r="F47" s="20">
        <v>5225000000</v>
      </c>
      <c r="G47" s="20">
        <v>2916666666.6666665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 t="s">
        <v>435</v>
      </c>
      <c r="R47" s="20" t="s">
        <v>436</v>
      </c>
    </row>
    <row r="48" spans="1:18">
      <c r="A48" s="20">
        <v>2024</v>
      </c>
      <c r="B48" s="20">
        <v>11</v>
      </c>
      <c r="C48" s="20" t="s">
        <v>446</v>
      </c>
      <c r="D48" s="20" t="s">
        <v>178</v>
      </c>
      <c r="E48" s="20" t="s">
        <v>434</v>
      </c>
      <c r="F48" s="20">
        <v>5225000000</v>
      </c>
      <c r="G48" s="20">
        <v>2916666666.6666665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 t="s">
        <v>435</v>
      </c>
      <c r="R48" s="20" t="s">
        <v>436</v>
      </c>
    </row>
    <row r="49" spans="1:18">
      <c r="A49" s="20">
        <v>2024</v>
      </c>
      <c r="B49" s="20">
        <v>12</v>
      </c>
      <c r="C49" s="20" t="s">
        <v>447</v>
      </c>
      <c r="D49" s="20" t="s">
        <v>178</v>
      </c>
      <c r="E49" s="20" t="s">
        <v>434</v>
      </c>
      <c r="F49" s="20">
        <v>5225000000</v>
      </c>
      <c r="G49" s="20">
        <v>2916666666.6666665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 t="s">
        <v>435</v>
      </c>
      <c r="R49" s="20" t="s">
        <v>436</v>
      </c>
    </row>
    <row r="50" spans="1:18">
      <c r="A50" s="20">
        <v>2025</v>
      </c>
      <c r="B50" s="20">
        <v>1</v>
      </c>
      <c r="C50" s="20" t="s">
        <v>433</v>
      </c>
      <c r="D50" s="20" t="s">
        <v>178</v>
      </c>
      <c r="E50" s="20" t="s">
        <v>434</v>
      </c>
      <c r="F50" s="20">
        <v>7475468644.666667</v>
      </c>
      <c r="G50" s="20">
        <v>5614049417.416667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 t="s">
        <v>435</v>
      </c>
      <c r="R50" s="20" t="s">
        <v>436</v>
      </c>
    </row>
    <row r="51" spans="1:18">
      <c r="A51" s="20">
        <v>2025</v>
      </c>
      <c r="B51" s="20">
        <v>2</v>
      </c>
      <c r="C51" s="20" t="s">
        <v>437</v>
      </c>
      <c r="D51" s="20" t="s">
        <v>178</v>
      </c>
      <c r="E51" s="20" t="s">
        <v>434</v>
      </c>
      <c r="F51" s="20">
        <v>7475468644.666667</v>
      </c>
      <c r="G51" s="20">
        <v>5614049417.416667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 t="s">
        <v>435</v>
      </c>
      <c r="R51" s="20" t="s">
        <v>436</v>
      </c>
    </row>
    <row r="52" spans="1:18">
      <c r="A52" s="20">
        <v>2025</v>
      </c>
      <c r="B52" s="20">
        <v>3</v>
      </c>
      <c r="C52" s="20" t="s">
        <v>438</v>
      </c>
      <c r="D52" s="20" t="s">
        <v>178</v>
      </c>
      <c r="E52" s="20" t="s">
        <v>434</v>
      </c>
      <c r="F52" s="20">
        <v>7475468644.666667</v>
      </c>
      <c r="G52" s="20">
        <v>5614049417.416667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 t="s">
        <v>435</v>
      </c>
      <c r="R52" s="20" t="s">
        <v>436</v>
      </c>
    </row>
    <row r="53" spans="1:18">
      <c r="A53" s="20">
        <v>2025</v>
      </c>
      <c r="B53" s="20">
        <v>4</v>
      </c>
      <c r="C53" s="20" t="s">
        <v>439</v>
      </c>
      <c r="D53" s="20" t="s">
        <v>178</v>
      </c>
      <c r="E53" s="20" t="s">
        <v>434</v>
      </c>
      <c r="F53" s="20">
        <v>7475468644.666667</v>
      </c>
      <c r="G53" s="20">
        <v>5614049417.416667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 t="s">
        <v>435</v>
      </c>
      <c r="R53" s="20" t="s">
        <v>436</v>
      </c>
    </row>
    <row r="54" spans="1:18">
      <c r="A54" s="20">
        <v>2025</v>
      </c>
      <c r="B54" s="20">
        <v>5</v>
      </c>
      <c r="C54" s="20" t="s">
        <v>440</v>
      </c>
      <c r="D54" s="20" t="s">
        <v>178</v>
      </c>
      <c r="E54" s="20" t="s">
        <v>434</v>
      </c>
      <c r="F54" s="20">
        <v>7475468644.666667</v>
      </c>
      <c r="G54" s="20">
        <v>5614049417.416667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 t="s">
        <v>435</v>
      </c>
      <c r="R54" s="20" t="s">
        <v>436</v>
      </c>
    </row>
    <row r="55" spans="1:18">
      <c r="A55" s="20">
        <v>2025</v>
      </c>
      <c r="B55" s="20">
        <v>6</v>
      </c>
      <c r="C55" s="20" t="s">
        <v>441</v>
      </c>
      <c r="D55" s="20" t="s">
        <v>178</v>
      </c>
      <c r="E55" s="20" t="s">
        <v>434</v>
      </c>
      <c r="F55" s="20">
        <v>7475468644.666667</v>
      </c>
      <c r="G55" s="20">
        <v>5614049417.416667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 t="s">
        <v>435</v>
      </c>
      <c r="R55" s="20" t="s">
        <v>436</v>
      </c>
    </row>
    <row r="56" spans="1:18">
      <c r="A56" s="20">
        <v>2025</v>
      </c>
      <c r="B56" s="20">
        <v>7</v>
      </c>
      <c r="C56" s="20" t="s">
        <v>442</v>
      </c>
      <c r="D56" s="20" t="s">
        <v>178</v>
      </c>
      <c r="E56" s="20" t="s">
        <v>434</v>
      </c>
      <c r="F56" s="20">
        <v>7475468644.666667</v>
      </c>
      <c r="G56" s="20">
        <v>5614049417.416667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 t="s">
        <v>435</v>
      </c>
      <c r="R56" s="20" t="s">
        <v>436</v>
      </c>
    </row>
    <row r="57" spans="1:18">
      <c r="A57" s="20">
        <v>2025</v>
      </c>
      <c r="B57" s="20">
        <v>8</v>
      </c>
      <c r="C57" s="20" t="s">
        <v>443</v>
      </c>
      <c r="D57" s="20" t="s">
        <v>178</v>
      </c>
      <c r="E57" s="20" t="s">
        <v>434</v>
      </c>
      <c r="F57" s="20">
        <v>7475468644.666667</v>
      </c>
      <c r="G57" s="20">
        <v>5614049417.416667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 t="s">
        <v>435</v>
      </c>
      <c r="R57" s="20" t="s">
        <v>436</v>
      </c>
    </row>
    <row r="58" spans="1:18">
      <c r="A58" s="20">
        <v>2025</v>
      </c>
      <c r="B58" s="20">
        <v>9</v>
      </c>
      <c r="C58" s="20" t="s">
        <v>444</v>
      </c>
      <c r="D58" s="20" t="s">
        <v>178</v>
      </c>
      <c r="E58" s="20" t="s">
        <v>434</v>
      </c>
      <c r="F58" s="20">
        <v>7475468644.666667</v>
      </c>
      <c r="G58" s="20">
        <v>5614049417.416667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 t="s">
        <v>435</v>
      </c>
      <c r="R58" s="20" t="s">
        <v>436</v>
      </c>
    </row>
    <row r="59" spans="1:18">
      <c r="A59" s="20">
        <v>2025</v>
      </c>
      <c r="B59" s="20">
        <v>10</v>
      </c>
      <c r="C59" s="20" t="s">
        <v>445</v>
      </c>
      <c r="D59" s="20" t="s">
        <v>178</v>
      </c>
      <c r="E59" s="20" t="s">
        <v>434</v>
      </c>
      <c r="F59" s="20">
        <v>7475468644.666667</v>
      </c>
      <c r="G59" s="20">
        <v>5614049417.416667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 t="s">
        <v>435</v>
      </c>
      <c r="R59" s="20" t="s">
        <v>436</v>
      </c>
    </row>
    <row r="60" spans="1:18">
      <c r="A60" s="20">
        <v>2025</v>
      </c>
      <c r="B60" s="20">
        <v>11</v>
      </c>
      <c r="C60" s="20" t="s">
        <v>446</v>
      </c>
      <c r="D60" s="20" t="s">
        <v>178</v>
      </c>
      <c r="E60" s="20" t="s">
        <v>434</v>
      </c>
      <c r="F60" s="20">
        <v>7475468644.666667</v>
      </c>
      <c r="G60" s="20">
        <v>5614049417.416667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 t="s">
        <v>435</v>
      </c>
      <c r="R60" s="20" t="s">
        <v>436</v>
      </c>
    </row>
    <row r="61" spans="1:18">
      <c r="A61" s="20">
        <v>2025</v>
      </c>
      <c r="B61" s="20">
        <v>12</v>
      </c>
      <c r="C61" s="20" t="s">
        <v>447</v>
      </c>
      <c r="D61" s="20" t="s">
        <v>178</v>
      </c>
      <c r="E61" s="20" t="s">
        <v>434</v>
      </c>
      <c r="F61" s="20">
        <v>7475468644.666667</v>
      </c>
      <c r="G61" s="20">
        <v>5614049417.416667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 t="s">
        <v>435</v>
      </c>
      <c r="R61" s="20" t="s">
        <v>436</v>
      </c>
    </row>
    <row r="62" spans="1:18">
      <c r="A62" s="20">
        <v>2026</v>
      </c>
      <c r="B62" s="20">
        <v>1</v>
      </c>
      <c r="C62" s="20" t="s">
        <v>433</v>
      </c>
      <c r="D62" s="20" t="s">
        <v>178</v>
      </c>
      <c r="E62" s="20" t="s">
        <v>434</v>
      </c>
      <c r="F62" s="20">
        <v>3333333333.3333335</v>
      </c>
      <c r="G62" s="20">
        <v>2833333333.3333335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 t="s">
        <v>435</v>
      </c>
      <c r="R62" s="20" t="s">
        <v>436</v>
      </c>
    </row>
    <row r="63" spans="1:18">
      <c r="A63" s="20">
        <v>2026</v>
      </c>
      <c r="B63" s="20">
        <v>2</v>
      </c>
      <c r="C63" s="20" t="s">
        <v>437</v>
      </c>
      <c r="D63" s="20" t="s">
        <v>178</v>
      </c>
      <c r="E63" s="20" t="s">
        <v>434</v>
      </c>
      <c r="F63" s="20">
        <v>3333333333.3333335</v>
      </c>
      <c r="G63" s="20">
        <v>2833333333.3333335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 t="s">
        <v>435</v>
      </c>
      <c r="R63" s="20" t="s">
        <v>436</v>
      </c>
    </row>
    <row r="64" spans="1:18">
      <c r="A64" s="20">
        <v>2026</v>
      </c>
      <c r="B64" s="20">
        <v>3</v>
      </c>
      <c r="C64" s="20" t="s">
        <v>438</v>
      </c>
      <c r="D64" s="20" t="s">
        <v>178</v>
      </c>
      <c r="E64" s="20" t="s">
        <v>434</v>
      </c>
      <c r="F64" s="20">
        <v>3333333333.3333335</v>
      </c>
      <c r="G64" s="20">
        <v>2833333333.3333335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 t="s">
        <v>435</v>
      </c>
      <c r="R64" s="20" t="s">
        <v>436</v>
      </c>
    </row>
    <row r="65" spans="1:18">
      <c r="A65" s="20">
        <v>2026</v>
      </c>
      <c r="B65" s="20">
        <v>4</v>
      </c>
      <c r="C65" s="20" t="s">
        <v>439</v>
      </c>
      <c r="D65" s="20" t="s">
        <v>178</v>
      </c>
      <c r="E65" s="20" t="s">
        <v>434</v>
      </c>
      <c r="F65" s="20">
        <v>3333333333.3333335</v>
      </c>
      <c r="G65" s="20">
        <v>2833333333.3333335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 t="s">
        <v>435</v>
      </c>
      <c r="R65" s="20" t="s">
        <v>436</v>
      </c>
    </row>
    <row r="66" spans="1:18">
      <c r="A66" s="20">
        <v>2026</v>
      </c>
      <c r="B66" s="20">
        <v>5</v>
      </c>
      <c r="C66" s="20" t="s">
        <v>440</v>
      </c>
      <c r="D66" s="20" t="s">
        <v>178</v>
      </c>
      <c r="E66" s="20" t="s">
        <v>434</v>
      </c>
      <c r="F66" s="20">
        <v>3333333333.3333335</v>
      </c>
      <c r="G66" s="20">
        <v>2833333333.3333335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 t="s">
        <v>435</v>
      </c>
      <c r="R66" s="20" t="s">
        <v>436</v>
      </c>
    </row>
    <row r="67" spans="1:18">
      <c r="A67" s="20">
        <v>2026</v>
      </c>
      <c r="B67" s="20">
        <v>6</v>
      </c>
      <c r="C67" s="20" t="s">
        <v>441</v>
      </c>
      <c r="D67" s="20" t="s">
        <v>178</v>
      </c>
      <c r="E67" s="20" t="s">
        <v>434</v>
      </c>
      <c r="F67" s="20">
        <v>3333333333.3333335</v>
      </c>
      <c r="G67" s="20">
        <v>2833333333.3333335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 t="s">
        <v>435</v>
      </c>
      <c r="R67" s="20" t="s">
        <v>436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"/>
  <sheetViews>
    <sheetView workbookViewId="0"/>
  </sheetViews>
  <sheetFormatPr defaultRowHeight="14.25"/>
  <cols>
    <col min="1" max="1" width="28" customWidth="1"/>
    <col min="2" max="2" width="50" customWidth="1"/>
    <col min="3" max="3" width="56" customWidth="1"/>
    <col min="4" max="4" width="60" customWidth="1"/>
  </cols>
  <sheetData>
    <row r="1" spans="1:4" ht="15">
      <c r="A1" s="23" t="s">
        <v>448</v>
      </c>
      <c r="B1" s="23" t="s">
        <v>449</v>
      </c>
      <c r="C1" s="23" t="s">
        <v>450</v>
      </c>
      <c r="D1" s="23" t="s">
        <v>451</v>
      </c>
    </row>
    <row r="2" spans="1:4">
      <c r="A2" s="20" t="s">
        <v>452</v>
      </c>
      <c r="B2" s="20" t="s">
        <v>453</v>
      </c>
      <c r="C2" s="20" t="s">
        <v>454</v>
      </c>
      <c r="D2" s="20" t="s">
        <v>455</v>
      </c>
    </row>
    <row r="3" spans="1:4">
      <c r="A3" s="20" t="s">
        <v>456</v>
      </c>
      <c r="B3" s="20" t="s">
        <v>457</v>
      </c>
      <c r="C3" s="20" t="s">
        <v>458</v>
      </c>
      <c r="D3" s="20" t="s">
        <v>459</v>
      </c>
    </row>
    <row r="4" spans="1:4">
      <c r="A4" s="20" t="s">
        <v>460</v>
      </c>
      <c r="B4" s="20" t="s">
        <v>461</v>
      </c>
      <c r="C4" s="20" t="s">
        <v>462</v>
      </c>
      <c r="D4" s="20" t="s">
        <v>463</v>
      </c>
    </row>
    <row r="5" spans="1:4">
      <c r="A5" s="20" t="s">
        <v>464</v>
      </c>
      <c r="B5" s="20" t="s">
        <v>465</v>
      </c>
      <c r="C5" s="20" t="s">
        <v>466</v>
      </c>
      <c r="D5" s="20" t="s">
        <v>467</v>
      </c>
    </row>
    <row r="6" spans="1:4">
      <c r="A6" s="20" t="s">
        <v>383</v>
      </c>
      <c r="B6" s="20" t="s">
        <v>468</v>
      </c>
      <c r="C6" s="20" t="s">
        <v>469</v>
      </c>
      <c r="D6" s="20" t="s">
        <v>470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4"/>
  <sheetViews>
    <sheetView workbookViewId="0"/>
  </sheetViews>
  <sheetFormatPr defaultRowHeight="14.25"/>
  <cols>
    <col min="1" max="1" width="24" customWidth="1"/>
    <col min="2" max="2" width="30" customWidth="1"/>
    <col min="3" max="3" width="44" customWidth="1"/>
    <col min="4" max="4" width="48" customWidth="1"/>
    <col min="5" max="5" width="42" customWidth="1"/>
    <col min="6" max="6" width="16" customWidth="1"/>
    <col min="7" max="7" width="22" customWidth="1"/>
    <col min="8" max="8" width="18" customWidth="1"/>
  </cols>
  <sheetData>
    <row r="1" spans="1:8" ht="45">
      <c r="A1" s="28" t="s">
        <v>471</v>
      </c>
      <c r="B1" s="28" t="s">
        <v>472</v>
      </c>
      <c r="C1" s="28"/>
      <c r="D1" s="28"/>
      <c r="E1" s="28"/>
      <c r="F1" s="28"/>
      <c r="G1" s="28"/>
      <c r="H1" s="28"/>
    </row>
    <row r="2" spans="1:8" ht="15">
      <c r="A2" s="27" t="s">
        <v>46</v>
      </c>
      <c r="B2" s="27" t="s">
        <v>473</v>
      </c>
      <c r="C2" s="27" t="s">
        <v>474</v>
      </c>
      <c r="D2" s="27" t="s">
        <v>475</v>
      </c>
      <c r="E2" s="27" t="s">
        <v>476</v>
      </c>
      <c r="F2" s="27" t="s">
        <v>477</v>
      </c>
      <c r="G2" s="27" t="s">
        <v>478</v>
      </c>
      <c r="H2" s="27" t="s">
        <v>479</v>
      </c>
    </row>
    <row r="3" spans="1:8">
      <c r="A3" s="20" t="s">
        <v>480</v>
      </c>
      <c r="B3" s="20" t="s">
        <v>481</v>
      </c>
      <c r="C3" s="20" t="s">
        <v>482</v>
      </c>
      <c r="D3" s="20" t="s">
        <v>483</v>
      </c>
      <c r="E3" s="20" t="s">
        <v>484</v>
      </c>
      <c r="F3" s="20" t="s">
        <v>235</v>
      </c>
      <c r="G3" s="20" t="s">
        <v>485</v>
      </c>
      <c r="H3" s="20" t="s">
        <v>486</v>
      </c>
    </row>
    <row r="4" spans="1:8">
      <c r="A4" s="20" t="s">
        <v>487</v>
      </c>
      <c r="B4" s="20" t="s">
        <v>488</v>
      </c>
      <c r="C4" s="20" t="s">
        <v>489</v>
      </c>
      <c r="D4" s="20" t="s">
        <v>490</v>
      </c>
      <c r="E4" s="20" t="s">
        <v>491</v>
      </c>
      <c r="F4" s="20" t="s">
        <v>234</v>
      </c>
      <c r="G4" s="20" t="s">
        <v>492</v>
      </c>
      <c r="H4" s="20" t="s">
        <v>486</v>
      </c>
    </row>
    <row r="5" spans="1:8">
      <c r="A5" s="20" t="s">
        <v>493</v>
      </c>
      <c r="B5" s="20" t="s">
        <v>494</v>
      </c>
      <c r="C5" s="20" t="s">
        <v>495</v>
      </c>
      <c r="D5" s="20" t="s">
        <v>496</v>
      </c>
      <c r="E5" s="20" t="s">
        <v>497</v>
      </c>
      <c r="F5" s="20" t="s">
        <v>234</v>
      </c>
      <c r="G5" s="20" t="s">
        <v>498</v>
      </c>
      <c r="H5" s="20" t="s">
        <v>486</v>
      </c>
    </row>
    <row r="6" spans="1:8">
      <c r="A6" s="20" t="s">
        <v>499</v>
      </c>
      <c r="B6" s="20" t="s">
        <v>500</v>
      </c>
      <c r="C6" s="20" t="s">
        <v>501</v>
      </c>
      <c r="D6" s="20" t="s">
        <v>502</v>
      </c>
      <c r="E6" s="20" t="s">
        <v>503</v>
      </c>
      <c r="F6" s="20" t="s">
        <v>234</v>
      </c>
      <c r="G6" s="20" t="s">
        <v>504</v>
      </c>
      <c r="H6" s="20" t="s">
        <v>505</v>
      </c>
    </row>
    <row r="7" spans="1:8">
      <c r="A7" s="20" t="s">
        <v>506</v>
      </c>
      <c r="B7" s="20" t="s">
        <v>507</v>
      </c>
      <c r="C7" s="20" t="s">
        <v>508</v>
      </c>
      <c r="D7" s="20" t="s">
        <v>509</v>
      </c>
      <c r="E7" s="20" t="s">
        <v>510</v>
      </c>
      <c r="F7" s="20" t="s">
        <v>234</v>
      </c>
      <c r="G7" s="20" t="s">
        <v>511</v>
      </c>
      <c r="H7" s="20" t="s">
        <v>505</v>
      </c>
    </row>
    <row r="8" spans="1:8">
      <c r="A8" s="20" t="s">
        <v>512</v>
      </c>
      <c r="B8" s="20" t="s">
        <v>513</v>
      </c>
      <c r="C8" s="20" t="s">
        <v>514</v>
      </c>
      <c r="D8" s="20" t="s">
        <v>515</v>
      </c>
      <c r="E8" s="20" t="s">
        <v>516</v>
      </c>
      <c r="F8" s="20" t="s">
        <v>234</v>
      </c>
      <c r="G8" s="20" t="s">
        <v>517</v>
      </c>
      <c r="H8" s="20" t="s">
        <v>505</v>
      </c>
    </row>
    <row r="9" spans="1:8">
      <c r="A9" s="20" t="s">
        <v>518</v>
      </c>
      <c r="B9" s="20" t="s">
        <v>519</v>
      </c>
      <c r="C9" s="20" t="s">
        <v>520</v>
      </c>
      <c r="D9" s="20" t="s">
        <v>521</v>
      </c>
      <c r="E9" s="20" t="s">
        <v>522</v>
      </c>
      <c r="F9" s="20" t="s">
        <v>234</v>
      </c>
      <c r="G9" s="20" t="s">
        <v>134</v>
      </c>
      <c r="H9" s="20" t="s">
        <v>505</v>
      </c>
    </row>
    <row r="10" spans="1:8">
      <c r="A10" s="20" t="s">
        <v>523</v>
      </c>
      <c r="B10" s="20" t="s">
        <v>524</v>
      </c>
      <c r="C10" s="20" t="s">
        <v>525</v>
      </c>
      <c r="D10" s="20" t="s">
        <v>526</v>
      </c>
      <c r="E10" s="20" t="s">
        <v>527</v>
      </c>
      <c r="F10" s="20" t="s">
        <v>234</v>
      </c>
      <c r="G10" s="20" t="s">
        <v>492</v>
      </c>
      <c r="H10" s="20" t="s">
        <v>486</v>
      </c>
    </row>
    <row r="11" spans="1:8">
      <c r="A11" s="20"/>
      <c r="B11" s="20"/>
      <c r="C11" s="20"/>
      <c r="D11" s="20"/>
      <c r="E11" s="20"/>
      <c r="F11" s="20"/>
      <c r="G11" s="20"/>
      <c r="H11" s="20"/>
    </row>
    <row r="12" spans="1:8">
      <c r="A12" s="20" t="s">
        <v>528</v>
      </c>
      <c r="B12" s="20" t="s">
        <v>529</v>
      </c>
      <c r="C12" s="20"/>
      <c r="D12" s="20"/>
      <c r="E12" s="20"/>
      <c r="F12" s="20"/>
      <c r="G12" s="20"/>
      <c r="H12" s="20"/>
    </row>
    <row r="13" spans="1:8">
      <c r="A13" s="20" t="s">
        <v>374</v>
      </c>
      <c r="B13" s="20" t="s">
        <v>530</v>
      </c>
      <c r="C13" s="20"/>
      <c r="D13" s="20"/>
      <c r="E13" s="20"/>
      <c r="F13" s="20"/>
      <c r="G13" s="20"/>
      <c r="H13" s="20"/>
    </row>
    <row r="14" spans="1:8">
      <c r="A14" s="20" t="s">
        <v>531</v>
      </c>
      <c r="B14" s="20" t="s">
        <v>532</v>
      </c>
      <c r="C14" s="20"/>
      <c r="D14" s="20"/>
      <c r="E14" s="20"/>
      <c r="F14" s="20"/>
      <c r="G14" s="20"/>
      <c r="H14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"/>
  <sheetViews>
    <sheetView workbookViewId="0">
      <selection activeCell="C32" sqref="C32"/>
    </sheetView>
  </sheetViews>
  <sheetFormatPr defaultRowHeight="14.25"/>
  <cols>
    <col min="1" max="1" width="24" customWidth="1"/>
    <col min="2" max="3" width="50" customWidth="1"/>
    <col min="4" max="4" width="38" customWidth="1"/>
    <col min="5" max="5" width="24" customWidth="1"/>
  </cols>
  <sheetData>
    <row r="1" spans="1:5" ht="15">
      <c r="A1" s="27" t="s">
        <v>46</v>
      </c>
      <c r="B1" s="27" t="s">
        <v>533</v>
      </c>
      <c r="C1" s="27" t="s">
        <v>534</v>
      </c>
      <c r="D1" s="27" t="s">
        <v>535</v>
      </c>
      <c r="E1" s="27" t="s">
        <v>536</v>
      </c>
    </row>
    <row r="2" spans="1:5">
      <c r="A2" s="20" t="s">
        <v>499</v>
      </c>
      <c r="B2" s="20" t="s">
        <v>537</v>
      </c>
      <c r="C2" s="20" t="s">
        <v>538</v>
      </c>
      <c r="D2" s="20" t="s">
        <v>539</v>
      </c>
      <c r="E2" s="20" t="s">
        <v>504</v>
      </c>
    </row>
    <row r="3" spans="1:5">
      <c r="A3" s="20" t="s">
        <v>540</v>
      </c>
      <c r="B3" s="20" t="s">
        <v>541</v>
      </c>
      <c r="C3" s="20" t="s">
        <v>542</v>
      </c>
      <c r="D3" s="20" t="s">
        <v>543</v>
      </c>
      <c r="E3" s="20" t="s">
        <v>492</v>
      </c>
    </row>
    <row r="4" spans="1:5">
      <c r="A4" s="20" t="s">
        <v>506</v>
      </c>
      <c r="B4" s="20" t="s">
        <v>544</v>
      </c>
      <c r="C4" s="20" t="s">
        <v>545</v>
      </c>
      <c r="D4" s="20" t="s">
        <v>546</v>
      </c>
      <c r="E4" s="20" t="s">
        <v>511</v>
      </c>
    </row>
    <row r="5" spans="1:5">
      <c r="A5" s="20" t="s">
        <v>547</v>
      </c>
      <c r="B5" s="20" t="s">
        <v>548</v>
      </c>
      <c r="C5" s="20" t="s">
        <v>549</v>
      </c>
      <c r="D5" s="20" t="s">
        <v>314</v>
      </c>
      <c r="E5" s="20" t="s">
        <v>492</v>
      </c>
    </row>
    <row r="6" spans="1:5">
      <c r="A6" s="20" t="s">
        <v>518</v>
      </c>
      <c r="B6" s="20" t="s">
        <v>550</v>
      </c>
      <c r="C6" s="20" t="s">
        <v>551</v>
      </c>
      <c r="D6" s="20" t="s">
        <v>303</v>
      </c>
      <c r="E6" s="20" t="s">
        <v>134</v>
      </c>
    </row>
    <row r="7" spans="1:5">
      <c r="A7" s="20" t="s">
        <v>552</v>
      </c>
      <c r="B7" s="20" t="s">
        <v>553</v>
      </c>
      <c r="C7" s="20" t="s">
        <v>554</v>
      </c>
      <c r="D7" s="20" t="s">
        <v>555</v>
      </c>
      <c r="E7" s="20" t="s">
        <v>147</v>
      </c>
    </row>
    <row r="9" spans="1:5">
      <c r="A9" s="20" t="s">
        <v>556</v>
      </c>
      <c r="B9" s="20" t="s">
        <v>557</v>
      </c>
      <c r="C9" s="20" t="s">
        <v>558</v>
      </c>
      <c r="D9" s="20" t="s">
        <v>559</v>
      </c>
      <c r="E9" s="20" t="s">
        <v>560</v>
      </c>
    </row>
    <row r="10" spans="1:5">
      <c r="A10" s="20" t="s">
        <v>561</v>
      </c>
      <c r="B10" s="20" t="s">
        <v>562</v>
      </c>
      <c r="C10" s="20" t="s">
        <v>563</v>
      </c>
      <c r="D10" s="20" t="s">
        <v>559</v>
      </c>
      <c r="E10" s="20" t="s">
        <v>517</v>
      </c>
    </row>
    <row r="11" spans="1:5">
      <c r="A11" s="20" t="s">
        <v>564</v>
      </c>
      <c r="B11" s="20" t="s">
        <v>565</v>
      </c>
      <c r="C11" s="20" t="s">
        <v>566</v>
      </c>
      <c r="D11" s="20" t="s">
        <v>559</v>
      </c>
      <c r="E11" s="20" t="s">
        <v>517</v>
      </c>
    </row>
    <row r="12" spans="1:5">
      <c r="A12" s="20" t="s">
        <v>567</v>
      </c>
      <c r="B12" s="20" t="s">
        <v>568</v>
      </c>
      <c r="C12" s="20" t="s">
        <v>569</v>
      </c>
      <c r="D12" s="20" t="s">
        <v>559</v>
      </c>
      <c r="E12" s="20" t="s">
        <v>134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7"/>
  <sheetViews>
    <sheetView workbookViewId="0">
      <selection activeCell="F11" sqref="F11"/>
    </sheetView>
  </sheetViews>
  <sheetFormatPr defaultRowHeight="14.25"/>
  <cols>
    <col min="1" max="1" width="10" customWidth="1"/>
    <col min="2" max="2" width="14" customWidth="1"/>
    <col min="3" max="3" width="34" customWidth="1"/>
    <col min="4" max="4" width="30" customWidth="1"/>
    <col min="5" max="5" width="26" customWidth="1"/>
    <col min="6" max="8" width="18" customWidth="1"/>
    <col min="9" max="9" width="16" customWidth="1"/>
    <col min="10" max="10" width="14" customWidth="1"/>
    <col min="11" max="12" width="16" customWidth="1"/>
    <col min="13" max="13" width="18" customWidth="1"/>
    <col min="14" max="14" width="16" customWidth="1"/>
    <col min="15" max="15" width="14" customWidth="1"/>
    <col min="16" max="17" width="18" customWidth="1"/>
    <col min="18" max="18" width="60" customWidth="1"/>
  </cols>
  <sheetData>
    <row r="1" spans="1:18" ht="30">
      <c r="A1" s="31" t="s">
        <v>172</v>
      </c>
      <c r="B1" s="31" t="s">
        <v>205</v>
      </c>
      <c r="C1" s="31" t="s">
        <v>570</v>
      </c>
      <c r="D1" s="31" t="s">
        <v>571</v>
      </c>
      <c r="E1" s="31" t="s">
        <v>173</v>
      </c>
      <c r="F1" s="32" t="s">
        <v>207</v>
      </c>
      <c r="G1" s="32" t="s">
        <v>208</v>
      </c>
      <c r="H1" s="32" t="s">
        <v>572</v>
      </c>
      <c r="I1" s="31" t="s">
        <v>573</v>
      </c>
      <c r="J1" s="31" t="s">
        <v>574</v>
      </c>
      <c r="K1" s="31" t="s">
        <v>575</v>
      </c>
      <c r="L1" s="31" t="s">
        <v>230</v>
      </c>
      <c r="M1" s="32" t="s">
        <v>176</v>
      </c>
      <c r="N1" s="33" t="s">
        <v>177</v>
      </c>
      <c r="O1" s="33" t="s">
        <v>576</v>
      </c>
      <c r="P1" s="32" t="s">
        <v>577</v>
      </c>
      <c r="Q1" s="32" t="s">
        <v>578</v>
      </c>
      <c r="R1" s="31" t="s">
        <v>129</v>
      </c>
    </row>
    <row r="2" spans="1:18">
      <c r="A2" s="20">
        <v>2025</v>
      </c>
      <c r="B2" s="20" t="s">
        <v>579</v>
      </c>
      <c r="C2" s="20" t="s">
        <v>580</v>
      </c>
      <c r="D2" s="20" t="s">
        <v>212</v>
      </c>
      <c r="E2" s="20" t="s">
        <v>581</v>
      </c>
      <c r="F2" s="20">
        <v>23323462171.360001</v>
      </c>
      <c r="G2" s="20">
        <v>16326423519.952</v>
      </c>
      <c r="H2" s="20">
        <v>1049555797.7112</v>
      </c>
      <c r="I2" s="20">
        <v>8200</v>
      </c>
      <c r="J2" s="20">
        <v>18</v>
      </c>
      <c r="K2" s="20">
        <v>420</v>
      </c>
      <c r="L2" s="20">
        <v>3</v>
      </c>
      <c r="M2" s="20">
        <f t="shared" ref="M2:M17" si="0">F2-G2</f>
        <v>6997038651.4080009</v>
      </c>
      <c r="N2" s="20">
        <f t="shared" ref="N2:N17" si="1">IFERROR(M2/F2,0)</f>
        <v>0.30000000000000004</v>
      </c>
      <c r="O2" s="20">
        <f t="shared" ref="O2:O17" si="2">IFERROR(H2/F2,0)</f>
        <v>4.4999999999999998E-2</v>
      </c>
      <c r="P2" s="20">
        <f t="shared" ref="P2:P17" si="3">IFERROR(F2/J2,0)</f>
        <v>1295747898.4088888</v>
      </c>
      <c r="Q2" s="20">
        <f t="shared" ref="Q2:Q17" si="4">IFERROR(F2/I2,0)</f>
        <v>2844324.6550439023</v>
      </c>
      <c r="R2" s="20" t="s">
        <v>582</v>
      </c>
    </row>
    <row r="3" spans="1:18">
      <c r="A3" s="20">
        <v>2025</v>
      </c>
      <c r="B3" s="20" t="s">
        <v>583</v>
      </c>
      <c r="C3" s="20" t="s">
        <v>584</v>
      </c>
      <c r="D3" s="20" t="s">
        <v>585</v>
      </c>
      <c r="E3" s="20" t="s">
        <v>581</v>
      </c>
      <c r="F3" s="20">
        <v>19735237221.920002</v>
      </c>
      <c r="G3" s="20">
        <v>15393485033.097603</v>
      </c>
      <c r="H3" s="20">
        <v>1085438047.2056</v>
      </c>
      <c r="I3" s="20">
        <v>7600</v>
      </c>
      <c r="J3" s="20">
        <v>15</v>
      </c>
      <c r="K3" s="20">
        <v>85</v>
      </c>
      <c r="L3" s="20">
        <v>1</v>
      </c>
      <c r="M3" s="20">
        <f t="shared" si="0"/>
        <v>4341752188.8223991</v>
      </c>
      <c r="N3" s="20">
        <f t="shared" si="1"/>
        <v>0.21999999999999995</v>
      </c>
      <c r="O3" s="20">
        <f t="shared" si="2"/>
        <v>5.4999999999999993E-2</v>
      </c>
      <c r="P3" s="20">
        <f t="shared" si="3"/>
        <v>1315682481.4613335</v>
      </c>
      <c r="Q3" s="20">
        <f t="shared" si="4"/>
        <v>2596741.7397263162</v>
      </c>
      <c r="R3" s="20" t="s">
        <v>582</v>
      </c>
    </row>
    <row r="4" spans="1:18">
      <c r="A4" s="20">
        <v>2025</v>
      </c>
      <c r="B4" s="20" t="s">
        <v>586</v>
      </c>
      <c r="C4" s="20" t="s">
        <v>587</v>
      </c>
      <c r="D4" s="20" t="s">
        <v>588</v>
      </c>
      <c r="E4" s="20" t="s">
        <v>581</v>
      </c>
      <c r="F4" s="20">
        <v>13455843560.4</v>
      </c>
      <c r="G4" s="20">
        <v>10226441105.903999</v>
      </c>
      <c r="H4" s="20">
        <v>807350613.62399995</v>
      </c>
      <c r="I4" s="20">
        <v>6800</v>
      </c>
      <c r="J4" s="20">
        <v>14</v>
      </c>
      <c r="K4" s="20">
        <v>310</v>
      </c>
      <c r="L4" s="20">
        <v>4</v>
      </c>
      <c r="M4" s="20">
        <f t="shared" si="0"/>
        <v>3229402454.4960003</v>
      </c>
      <c r="N4" s="20">
        <f t="shared" si="1"/>
        <v>0.24000000000000002</v>
      </c>
      <c r="O4" s="20">
        <f t="shared" si="2"/>
        <v>0.06</v>
      </c>
      <c r="P4" s="20">
        <f t="shared" si="3"/>
        <v>961131682.88571429</v>
      </c>
      <c r="Q4" s="20">
        <f t="shared" si="4"/>
        <v>1978800.5235882353</v>
      </c>
      <c r="R4" s="20" t="s">
        <v>582</v>
      </c>
    </row>
    <row r="5" spans="1:18">
      <c r="A5" s="20">
        <v>2025</v>
      </c>
      <c r="B5" s="20" t="s">
        <v>589</v>
      </c>
      <c r="C5" s="20" t="s">
        <v>590</v>
      </c>
      <c r="D5" s="20" t="s">
        <v>591</v>
      </c>
      <c r="E5" s="20" t="s">
        <v>581</v>
      </c>
      <c r="F5" s="20">
        <v>8970562373.6000004</v>
      </c>
      <c r="G5" s="20">
        <v>6099982414.0480003</v>
      </c>
      <c r="H5" s="20">
        <v>448528118.68000007</v>
      </c>
      <c r="I5" s="20">
        <v>5200</v>
      </c>
      <c r="J5" s="20">
        <v>10</v>
      </c>
      <c r="K5" s="20">
        <v>520</v>
      </c>
      <c r="L5" s="20">
        <v>2</v>
      </c>
      <c r="M5" s="20">
        <f t="shared" si="0"/>
        <v>2870579959.552</v>
      </c>
      <c r="N5" s="20">
        <f t="shared" si="1"/>
        <v>0.32</v>
      </c>
      <c r="O5" s="20">
        <f t="shared" si="2"/>
        <v>0.05</v>
      </c>
      <c r="P5" s="20">
        <f t="shared" si="3"/>
        <v>897056237.36000001</v>
      </c>
      <c r="Q5" s="20">
        <f t="shared" si="4"/>
        <v>1725108.1487692308</v>
      </c>
      <c r="R5" s="20" t="s">
        <v>582</v>
      </c>
    </row>
    <row r="6" spans="1:18">
      <c r="A6" s="20">
        <v>2025</v>
      </c>
      <c r="B6" s="20" t="s">
        <v>592</v>
      </c>
      <c r="C6" s="20" t="s">
        <v>593</v>
      </c>
      <c r="D6" s="20" t="s">
        <v>594</v>
      </c>
      <c r="E6" s="20" t="s">
        <v>581</v>
      </c>
      <c r="F6" s="20">
        <v>10764674848.32</v>
      </c>
      <c r="G6" s="20">
        <v>7750565890.7903996</v>
      </c>
      <c r="H6" s="20">
        <v>538233742.41600001</v>
      </c>
      <c r="I6" s="20">
        <v>4100</v>
      </c>
      <c r="J6" s="20">
        <v>8</v>
      </c>
      <c r="K6" s="20">
        <v>34</v>
      </c>
      <c r="L6" s="20">
        <v>0</v>
      </c>
      <c r="M6" s="20">
        <f t="shared" si="0"/>
        <v>3014108957.5296001</v>
      </c>
      <c r="N6" s="20">
        <f t="shared" si="1"/>
        <v>0.28000000000000003</v>
      </c>
      <c r="O6" s="20">
        <f t="shared" si="2"/>
        <v>0.05</v>
      </c>
      <c r="P6" s="20">
        <f t="shared" si="3"/>
        <v>1345584356.04</v>
      </c>
      <c r="Q6" s="20">
        <f t="shared" si="4"/>
        <v>2625530.4508097558</v>
      </c>
      <c r="R6" s="20" t="s">
        <v>582</v>
      </c>
    </row>
    <row r="7" spans="1:18">
      <c r="A7" s="20">
        <v>2025</v>
      </c>
      <c r="B7" s="20" t="s">
        <v>595</v>
      </c>
      <c r="C7" s="20" t="s">
        <v>596</v>
      </c>
      <c r="D7" s="20" t="s">
        <v>597</v>
      </c>
      <c r="E7" s="20" t="s">
        <v>581</v>
      </c>
      <c r="F7" s="20">
        <v>7176449898.8800001</v>
      </c>
      <c r="G7" s="20">
        <v>5310572925.1711998</v>
      </c>
      <c r="H7" s="20">
        <v>394704744.43840003</v>
      </c>
      <c r="I7" s="20">
        <v>3500</v>
      </c>
      <c r="J7" s="20">
        <v>7</v>
      </c>
      <c r="K7" s="20">
        <v>42</v>
      </c>
      <c r="L7" s="20">
        <v>1</v>
      </c>
      <c r="M7" s="20">
        <f t="shared" si="0"/>
        <v>1865876973.7088003</v>
      </c>
      <c r="N7" s="20">
        <f t="shared" si="1"/>
        <v>0.26000000000000006</v>
      </c>
      <c r="O7" s="20">
        <f t="shared" si="2"/>
        <v>5.5E-2</v>
      </c>
      <c r="P7" s="20">
        <f t="shared" si="3"/>
        <v>1025207128.4114286</v>
      </c>
      <c r="Q7" s="20">
        <f t="shared" si="4"/>
        <v>2050414.2568228571</v>
      </c>
      <c r="R7" s="20" t="s">
        <v>582</v>
      </c>
    </row>
    <row r="8" spans="1:18">
      <c r="A8" s="20">
        <v>2025</v>
      </c>
      <c r="B8" s="20" t="s">
        <v>598</v>
      </c>
      <c r="C8" s="20" t="s">
        <v>599</v>
      </c>
      <c r="D8" s="20" t="s">
        <v>600</v>
      </c>
      <c r="E8" s="20" t="s">
        <v>581</v>
      </c>
      <c r="F8" s="20">
        <v>3588224949.4400001</v>
      </c>
      <c r="G8" s="20">
        <v>2368228466.6304002</v>
      </c>
      <c r="H8" s="20">
        <v>125587873.23040001</v>
      </c>
      <c r="I8" s="20">
        <v>1600</v>
      </c>
      <c r="J8" s="20">
        <v>4</v>
      </c>
      <c r="K8" s="20">
        <v>12</v>
      </c>
      <c r="L8" s="20">
        <v>0</v>
      </c>
      <c r="M8" s="20">
        <f t="shared" si="0"/>
        <v>1219996482.8095999</v>
      </c>
      <c r="N8" s="20">
        <f t="shared" si="1"/>
        <v>0.33999999999999997</v>
      </c>
      <c r="O8" s="20">
        <f t="shared" si="2"/>
        <v>3.5000000000000003E-2</v>
      </c>
      <c r="P8" s="20">
        <f t="shared" si="3"/>
        <v>897056237.36000001</v>
      </c>
      <c r="Q8" s="20">
        <f t="shared" si="4"/>
        <v>2242640.5934000001</v>
      </c>
      <c r="R8" s="20" t="s">
        <v>582</v>
      </c>
    </row>
    <row r="9" spans="1:18">
      <c r="A9" s="20">
        <v>2025</v>
      </c>
      <c r="B9" s="20" t="s">
        <v>601</v>
      </c>
      <c r="C9" s="20" t="s">
        <v>602</v>
      </c>
      <c r="D9" s="20" t="s">
        <v>603</v>
      </c>
      <c r="E9" s="20" t="s">
        <v>581</v>
      </c>
      <c r="F9" s="20">
        <v>2691168712.0799999</v>
      </c>
      <c r="G9" s="20">
        <v>1560877853.0063999</v>
      </c>
      <c r="H9" s="20">
        <v>174925966.2852</v>
      </c>
      <c r="I9" s="20">
        <v>1200</v>
      </c>
      <c r="J9" s="20">
        <v>3</v>
      </c>
      <c r="K9" s="20">
        <v>18</v>
      </c>
      <c r="L9" s="20">
        <v>0</v>
      </c>
      <c r="M9" s="20">
        <f t="shared" si="0"/>
        <v>1130290859.0736001</v>
      </c>
      <c r="N9" s="20">
        <f t="shared" si="1"/>
        <v>0.42000000000000004</v>
      </c>
      <c r="O9" s="20">
        <f t="shared" si="2"/>
        <v>6.5000000000000002E-2</v>
      </c>
      <c r="P9" s="20">
        <f t="shared" si="3"/>
        <v>897056237.36000001</v>
      </c>
      <c r="Q9" s="20">
        <f t="shared" si="4"/>
        <v>2242640.5934000001</v>
      </c>
      <c r="R9" s="20" t="s">
        <v>582</v>
      </c>
    </row>
    <row r="10" spans="1:18">
      <c r="A10" s="20">
        <v>2026</v>
      </c>
      <c r="B10" s="20" t="s">
        <v>579</v>
      </c>
      <c r="C10" s="20" t="s">
        <v>580</v>
      </c>
      <c r="D10" s="20" t="s">
        <v>212</v>
      </c>
      <c r="E10" s="20" t="s">
        <v>581</v>
      </c>
      <c r="F10" s="20">
        <v>5400000000</v>
      </c>
      <c r="G10" s="20">
        <v>3888000000</v>
      </c>
      <c r="H10" s="20">
        <v>324000000</v>
      </c>
      <c r="I10" s="20">
        <v>4300</v>
      </c>
      <c r="J10" s="20">
        <v>18</v>
      </c>
      <c r="K10" s="20">
        <v>210</v>
      </c>
      <c r="L10" s="20">
        <v>2</v>
      </c>
      <c r="M10" s="20">
        <f t="shared" si="0"/>
        <v>1512000000</v>
      </c>
      <c r="N10" s="20">
        <f t="shared" si="1"/>
        <v>0.28000000000000003</v>
      </c>
      <c r="O10" s="20">
        <f t="shared" si="2"/>
        <v>0.06</v>
      </c>
      <c r="P10" s="20">
        <f t="shared" si="3"/>
        <v>300000000</v>
      </c>
      <c r="Q10" s="20">
        <f t="shared" si="4"/>
        <v>1255813.953488372</v>
      </c>
      <c r="R10" s="20" t="s">
        <v>582</v>
      </c>
    </row>
    <row r="11" spans="1:18">
      <c r="A11" s="20">
        <v>2026</v>
      </c>
      <c r="B11" s="20" t="s">
        <v>583</v>
      </c>
      <c r="C11" s="20" t="s">
        <v>584</v>
      </c>
      <c r="D11" s="20" t="s">
        <v>585</v>
      </c>
      <c r="E11" s="20" t="s">
        <v>581</v>
      </c>
      <c r="F11" s="20">
        <v>4000000000</v>
      </c>
      <c r="G11" s="20">
        <v>3320000000</v>
      </c>
      <c r="H11" s="20">
        <v>340000000</v>
      </c>
      <c r="I11" s="20">
        <v>3800</v>
      </c>
      <c r="J11" s="20">
        <v>15</v>
      </c>
      <c r="K11" s="20">
        <v>38</v>
      </c>
      <c r="L11" s="20">
        <v>1</v>
      </c>
      <c r="M11" s="20">
        <f t="shared" si="0"/>
        <v>680000000</v>
      </c>
      <c r="N11" s="20">
        <f t="shared" si="1"/>
        <v>0.17</v>
      </c>
      <c r="O11" s="20">
        <f t="shared" si="2"/>
        <v>8.5000000000000006E-2</v>
      </c>
      <c r="P11" s="20">
        <f t="shared" si="3"/>
        <v>266666666.66666666</v>
      </c>
      <c r="Q11" s="20">
        <f t="shared" si="4"/>
        <v>1052631.5789473683</v>
      </c>
      <c r="R11" s="20" t="s">
        <v>582</v>
      </c>
    </row>
    <row r="12" spans="1:18">
      <c r="A12" s="20">
        <v>2026</v>
      </c>
      <c r="B12" s="20" t="s">
        <v>586</v>
      </c>
      <c r="C12" s="20" t="s">
        <v>587</v>
      </c>
      <c r="D12" s="20" t="s">
        <v>588</v>
      </c>
      <c r="E12" s="20" t="s">
        <v>581</v>
      </c>
      <c r="F12" s="20">
        <v>3200000000</v>
      </c>
      <c r="G12" s="20">
        <v>2496000000</v>
      </c>
      <c r="H12" s="20">
        <v>240000000</v>
      </c>
      <c r="I12" s="20">
        <v>3600</v>
      </c>
      <c r="J12" s="20">
        <v>14</v>
      </c>
      <c r="K12" s="20">
        <v>150</v>
      </c>
      <c r="L12" s="20">
        <v>2</v>
      </c>
      <c r="M12" s="20">
        <f t="shared" si="0"/>
        <v>704000000</v>
      </c>
      <c r="N12" s="20">
        <f t="shared" si="1"/>
        <v>0.22</v>
      </c>
      <c r="O12" s="20">
        <f t="shared" si="2"/>
        <v>7.4999999999999997E-2</v>
      </c>
      <c r="P12" s="20">
        <f t="shared" si="3"/>
        <v>228571428.57142857</v>
      </c>
      <c r="Q12" s="20">
        <f t="shared" si="4"/>
        <v>888888.88888888888</v>
      </c>
      <c r="R12" s="20" t="s">
        <v>582</v>
      </c>
    </row>
    <row r="13" spans="1:18">
      <c r="A13" s="20">
        <v>2026</v>
      </c>
      <c r="B13" s="20" t="s">
        <v>589</v>
      </c>
      <c r="C13" s="20" t="s">
        <v>590</v>
      </c>
      <c r="D13" s="20" t="s">
        <v>591</v>
      </c>
      <c r="E13" s="20" t="s">
        <v>581</v>
      </c>
      <c r="F13" s="20">
        <v>2200000000</v>
      </c>
      <c r="G13" s="20">
        <v>1540000000</v>
      </c>
      <c r="H13" s="20">
        <v>143000000</v>
      </c>
      <c r="I13" s="20">
        <v>2700</v>
      </c>
      <c r="J13" s="20">
        <v>10</v>
      </c>
      <c r="K13" s="20">
        <v>260</v>
      </c>
      <c r="L13" s="20">
        <v>1</v>
      </c>
      <c r="M13" s="20">
        <f t="shared" si="0"/>
        <v>660000000</v>
      </c>
      <c r="N13" s="20">
        <f t="shared" si="1"/>
        <v>0.3</v>
      </c>
      <c r="O13" s="20">
        <f t="shared" si="2"/>
        <v>6.5000000000000002E-2</v>
      </c>
      <c r="P13" s="20">
        <f t="shared" si="3"/>
        <v>220000000</v>
      </c>
      <c r="Q13" s="20">
        <f t="shared" si="4"/>
        <v>814814.81481481483</v>
      </c>
      <c r="R13" s="20" t="s">
        <v>582</v>
      </c>
    </row>
    <row r="14" spans="1:18">
      <c r="A14" s="20">
        <v>2026</v>
      </c>
      <c r="B14" s="20" t="s">
        <v>592</v>
      </c>
      <c r="C14" s="20" t="s">
        <v>593</v>
      </c>
      <c r="D14" s="20" t="s">
        <v>594</v>
      </c>
      <c r="E14" s="20" t="s">
        <v>581</v>
      </c>
      <c r="F14" s="20">
        <v>2400000000</v>
      </c>
      <c r="G14" s="20">
        <v>1776000000</v>
      </c>
      <c r="H14" s="20">
        <v>144000000</v>
      </c>
      <c r="I14" s="20">
        <v>2100</v>
      </c>
      <c r="J14" s="20">
        <v>8</v>
      </c>
      <c r="K14" s="20">
        <v>16</v>
      </c>
      <c r="L14" s="20">
        <v>0</v>
      </c>
      <c r="M14" s="20">
        <f t="shared" si="0"/>
        <v>624000000</v>
      </c>
      <c r="N14" s="20">
        <f t="shared" si="1"/>
        <v>0.26</v>
      </c>
      <c r="O14" s="20">
        <f t="shared" si="2"/>
        <v>0.06</v>
      </c>
      <c r="P14" s="20">
        <f t="shared" si="3"/>
        <v>300000000</v>
      </c>
      <c r="Q14" s="20">
        <f t="shared" si="4"/>
        <v>1142857.142857143</v>
      </c>
      <c r="R14" s="20" t="s">
        <v>582</v>
      </c>
    </row>
    <row r="15" spans="1:18">
      <c r="A15" s="20">
        <v>2026</v>
      </c>
      <c r="B15" s="20" t="s">
        <v>595</v>
      </c>
      <c r="C15" s="20" t="s">
        <v>596</v>
      </c>
      <c r="D15" s="20" t="s">
        <v>597</v>
      </c>
      <c r="E15" s="20" t="s">
        <v>581</v>
      </c>
      <c r="F15" s="20">
        <v>1400000000.0000002</v>
      </c>
      <c r="G15" s="20">
        <v>1078000000.0000002</v>
      </c>
      <c r="H15" s="20">
        <v>98000000.00000003</v>
      </c>
      <c r="I15" s="20">
        <v>1700</v>
      </c>
      <c r="J15" s="20">
        <v>7</v>
      </c>
      <c r="K15" s="20">
        <v>22</v>
      </c>
      <c r="L15" s="20">
        <v>1</v>
      </c>
      <c r="M15" s="20">
        <f t="shared" si="0"/>
        <v>322000000</v>
      </c>
      <c r="N15" s="20">
        <f t="shared" si="1"/>
        <v>0.22999999999999995</v>
      </c>
      <c r="O15" s="20">
        <f t="shared" si="2"/>
        <v>7.0000000000000007E-2</v>
      </c>
      <c r="P15" s="20">
        <f t="shared" si="3"/>
        <v>200000000.00000003</v>
      </c>
      <c r="Q15" s="20">
        <f t="shared" si="4"/>
        <v>823529.41176470602</v>
      </c>
      <c r="R15" s="20" t="s">
        <v>582</v>
      </c>
    </row>
    <row r="16" spans="1:18">
      <c r="A16" s="20">
        <v>2026</v>
      </c>
      <c r="B16" s="20" t="s">
        <v>598</v>
      </c>
      <c r="C16" s="20" t="s">
        <v>599</v>
      </c>
      <c r="D16" s="20" t="s">
        <v>600</v>
      </c>
      <c r="E16" s="20" t="s">
        <v>581</v>
      </c>
      <c r="F16" s="20">
        <v>800000000</v>
      </c>
      <c r="G16" s="20">
        <v>544000000</v>
      </c>
      <c r="H16" s="20">
        <v>36000000</v>
      </c>
      <c r="I16" s="20">
        <v>900</v>
      </c>
      <c r="J16" s="20">
        <v>4</v>
      </c>
      <c r="K16" s="20">
        <v>8</v>
      </c>
      <c r="L16" s="20">
        <v>0</v>
      </c>
      <c r="M16" s="20">
        <f t="shared" si="0"/>
        <v>256000000</v>
      </c>
      <c r="N16" s="20">
        <f t="shared" si="1"/>
        <v>0.32</v>
      </c>
      <c r="O16" s="20">
        <f t="shared" si="2"/>
        <v>4.4999999999999998E-2</v>
      </c>
      <c r="P16" s="20">
        <f t="shared" si="3"/>
        <v>200000000</v>
      </c>
      <c r="Q16" s="20">
        <f t="shared" si="4"/>
        <v>888888.88888888888</v>
      </c>
      <c r="R16" s="20" t="s">
        <v>582</v>
      </c>
    </row>
    <row r="17" spans="1:18">
      <c r="A17" s="20">
        <v>2026</v>
      </c>
      <c r="B17" s="20" t="s">
        <v>601</v>
      </c>
      <c r="C17" s="20" t="s">
        <v>602</v>
      </c>
      <c r="D17" s="20" t="s">
        <v>603</v>
      </c>
      <c r="E17" s="20" t="s">
        <v>581</v>
      </c>
      <c r="F17" s="20">
        <v>600000000</v>
      </c>
      <c r="G17" s="20">
        <v>360000000</v>
      </c>
      <c r="H17" s="20">
        <v>48000000</v>
      </c>
      <c r="I17" s="20">
        <v>650</v>
      </c>
      <c r="J17" s="20">
        <v>3</v>
      </c>
      <c r="K17" s="20">
        <v>10</v>
      </c>
      <c r="L17" s="20">
        <v>0</v>
      </c>
      <c r="M17" s="20">
        <f t="shared" si="0"/>
        <v>240000000</v>
      </c>
      <c r="N17" s="20">
        <f t="shared" si="1"/>
        <v>0.4</v>
      </c>
      <c r="O17" s="20">
        <f t="shared" si="2"/>
        <v>0.08</v>
      </c>
      <c r="P17" s="20">
        <f t="shared" si="3"/>
        <v>200000000</v>
      </c>
      <c r="Q17" s="20">
        <f t="shared" si="4"/>
        <v>923076.92307692312</v>
      </c>
      <c r="R17" s="20" t="s">
        <v>582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"/>
  <sheetViews>
    <sheetView workbookViewId="0"/>
  </sheetViews>
  <sheetFormatPr defaultRowHeight="14.25"/>
  <cols>
    <col min="1" max="1" width="36" customWidth="1"/>
    <col min="2" max="2" width="34" customWidth="1"/>
    <col min="3" max="4" width="58" customWidth="1"/>
  </cols>
  <sheetData>
    <row r="1" spans="1:4" ht="15">
      <c r="A1" s="31" t="s">
        <v>271</v>
      </c>
      <c r="B1" s="31" t="s">
        <v>604</v>
      </c>
      <c r="C1" s="31" t="s">
        <v>605</v>
      </c>
      <c r="D1" s="31" t="s">
        <v>606</v>
      </c>
    </row>
    <row r="2" spans="1:4">
      <c r="A2" s="20" t="s">
        <v>607</v>
      </c>
      <c r="B2" s="20" t="s">
        <v>212</v>
      </c>
      <c r="C2" s="20" t="s">
        <v>608</v>
      </c>
      <c r="D2" s="20" t="s">
        <v>609</v>
      </c>
    </row>
    <row r="3" spans="1:4">
      <c r="A3" s="20" t="s">
        <v>607</v>
      </c>
      <c r="B3" s="20" t="s">
        <v>585</v>
      </c>
      <c r="C3" s="20" t="s">
        <v>610</v>
      </c>
      <c r="D3" s="20" t="s">
        <v>611</v>
      </c>
    </row>
    <row r="4" spans="1:4">
      <c r="A4" s="20" t="s">
        <v>607</v>
      </c>
      <c r="B4" s="20" t="s">
        <v>588</v>
      </c>
      <c r="C4" s="20" t="s">
        <v>612</v>
      </c>
      <c r="D4" s="20" t="s">
        <v>613</v>
      </c>
    </row>
    <row r="5" spans="1:4">
      <c r="A5" s="20" t="s">
        <v>607</v>
      </c>
      <c r="B5" s="20" t="s">
        <v>591</v>
      </c>
      <c r="C5" s="20" t="s">
        <v>614</v>
      </c>
      <c r="D5" s="20" t="s">
        <v>615</v>
      </c>
    </row>
    <row r="6" spans="1:4">
      <c r="A6" s="20" t="s">
        <v>607</v>
      </c>
      <c r="B6" s="20" t="s">
        <v>594</v>
      </c>
      <c r="C6" s="20" t="s">
        <v>616</v>
      </c>
      <c r="D6" s="20" t="s">
        <v>617</v>
      </c>
    </row>
    <row r="7" spans="1:4">
      <c r="A7" s="20" t="s">
        <v>607</v>
      </c>
      <c r="B7" s="20" t="s">
        <v>597</v>
      </c>
      <c r="C7" s="20" t="s">
        <v>618</v>
      </c>
      <c r="D7" s="20" t="s">
        <v>619</v>
      </c>
    </row>
    <row r="8" spans="1:4">
      <c r="A8" s="20" t="s">
        <v>607</v>
      </c>
      <c r="B8" s="20" t="s">
        <v>600</v>
      </c>
      <c r="C8" s="20" t="s">
        <v>620</v>
      </c>
      <c r="D8" s="20" t="s">
        <v>621</v>
      </c>
    </row>
    <row r="9" spans="1:4">
      <c r="A9" s="20" t="s">
        <v>607</v>
      </c>
      <c r="B9" s="20" t="s">
        <v>603</v>
      </c>
      <c r="C9" s="20" t="s">
        <v>622</v>
      </c>
      <c r="D9" s="20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PARAMETERS</vt:lpstr>
      <vt:lpstr>TARGETS</vt:lpstr>
      <vt:lpstr>FJA_MAPPING</vt:lpstr>
      <vt:lpstr>DIM_DEPARTMENT</vt:lpstr>
      <vt:lpstr>DIM_EMPLOYEE</vt:lpstr>
      <vt:lpstr>REVENUE_YR</vt:lpstr>
      <vt:lpstr>REVENUE_BY_DEPT</vt:lpstr>
      <vt:lpstr>HEADCOUNT_YR</vt:lpstr>
      <vt:lpstr>PAYROLL_YR</vt:lpstr>
      <vt:lpstr>HC_MOVEMENT</vt:lpstr>
      <vt:lpstr>PROJECT_MARGIN</vt:lpstr>
      <vt:lpstr>CAPACITY_INDICATOR</vt:lpstr>
      <vt:lpstr>EXEC_SUMMARY</vt:lpstr>
      <vt:lpstr>CALENDAR</vt:lpstr>
      <vt:lpstr>PRESENTATION_GUIDE</vt:lpstr>
      <vt:lpstr>VISUAL_GUIDE</vt:lpstr>
      <vt:lpstr>SEP_V4_GUIDE</vt:lpstr>
      <vt:lpstr>SEP_PRESENTATION_FLOW</vt:lpstr>
      <vt:lpstr>MONTHLY_KPI</vt:lpstr>
      <vt:lpstr>MONTHLY_YTD_GUIDE</vt:lpstr>
      <vt:lpstr>BENCHMARK_FRAMEWORK</vt:lpstr>
      <vt:lpstr>APPENDIX_KPI_DEFINITIONS</vt:lpstr>
      <vt:lpstr>PROJECT_PRODUCTIVITY</vt:lpstr>
      <vt:lpstr>PROJECT_PRODUCTIVITY_GUIDE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2026-07-06T04:58:59Z</dcterms:created>
  <dcterms:modified xsi:type="dcterms:W3CDTF">2026-07-13T11:54:12Z</dcterms:modified>
</cp:coreProperties>
</file>